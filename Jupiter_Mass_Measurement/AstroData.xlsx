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<sst xmlns="http://schemas.openxmlformats.org/spreadsheetml/2006/main" count="682" uniqueCount="50">
  <si>
    <t>Time</t>
  </si>
  <si>
    <t>Correct time</t>
  </si>
  <si>
    <t>Julian Date</t>
  </si>
  <si>
    <t>Jupiter</t>
  </si>
  <si>
    <t>Io</t>
  </si>
  <si>
    <t>Callistro</t>
  </si>
  <si>
    <t>Ganymide</t>
  </si>
  <si>
    <t>Europa</t>
  </si>
  <si>
    <t>(hh:mm:ss)</t>
  </si>
  <si>
    <t>J2000</t>
  </si>
  <si>
    <t>(x) (pixel)</t>
  </si>
  <si>
    <t>(x err)(pixel)</t>
  </si>
  <si>
    <t>(y)(pixel)</t>
  </si>
  <si>
    <t>(y err)(pixel)</t>
  </si>
  <si>
    <t>(x)(pixel)</t>
  </si>
  <si>
    <t>Distance (pixel)</t>
  </si>
  <si>
    <t>Distance error (pixel)</t>
  </si>
  <si>
    <t>Distance(pixel)</t>
  </si>
  <si>
    <t>nan</t>
  </si>
  <si>
    <t>Julian Days</t>
  </si>
  <si>
    <t>9628.827083</t>
  </si>
  <si>
    <t>9628.833657</t>
  </si>
  <si>
    <t>9628.854526</t>
  </si>
  <si>
    <t>9628.865440</t>
  </si>
  <si>
    <t>9628.888542</t>
  </si>
  <si>
    <t>9628.896100</t>
  </si>
  <si>
    <t>9628.902847</t>
  </si>
  <si>
    <t>9628.911100</t>
  </si>
  <si>
    <t>Final Data</t>
  </si>
  <si>
    <t>Corrected Time</t>
  </si>
  <si>
    <t>(hh:mm:ss)(pm)</t>
  </si>
  <si>
    <t>Pixel Distance</t>
  </si>
  <si>
    <t>Distance Err (pixel)</t>
  </si>
  <si>
    <t>9:33:00</t>
  </si>
  <si>
    <t>07:51:00</t>
  </si>
  <si>
    <t>9:42:28</t>
  </si>
  <si>
    <t>08:00:28</t>
  </si>
  <si>
    <t>10:12:31</t>
  </si>
  <si>
    <t>08:30:31</t>
  </si>
  <si>
    <t>10:28:14</t>
  </si>
  <si>
    <t>08:46:14</t>
  </si>
  <si>
    <t>11:01:30</t>
  </si>
  <si>
    <t>09:19:30</t>
  </si>
  <si>
    <t>11:12:23</t>
  </si>
  <si>
    <t>09:30:23</t>
  </si>
  <si>
    <t>11:22:06</t>
  </si>
  <si>
    <t>09:40:06</t>
  </si>
  <si>
    <t>11:33:59</t>
  </si>
  <si>
    <t>09:51:59</t>
  </si>
  <si>
    <t>err (pixel)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</si>
</sst>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h:mm:ss am/pm"/>
  </numFmts>
  <fonts count="9">
    <font>
      <sz val="10.0"/>
      <color rgb="FF000000"/>
      <name val="Arial"/>
      <scheme val="minor"/>
    </font>
    <font>
      <sz val="17.0"/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Monospace"/>
    </font>
    <font>
      <sz val="10.0"/>
      <color rgb="FF000000"/>
      <name val="Arial"/>
    </font>
    <font>
      <sz val="11.0"/>
      <color rgb="FF000000"/>
      <name val="Monospace"/>
    </font>
    <font>
      <sz val="14.0"/>
      <color rgb="FFFFFFFF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2" numFmtId="19" xfId="0" applyFont="1" applyNumberFormat="1"/>
    <xf borderId="0" fillId="0" fontId="2" numFmtId="0" xfId="0" applyAlignment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9" fontId="5" numFmtId="0" xfId="0" applyAlignment="1" applyFont="1">
      <alignment horizontal="center" readingOrder="0"/>
    </xf>
    <xf borderId="0" fillId="0" fontId="3" numFmtId="21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9" fontId="0" numFmtId="165" xfId="0" applyAlignment="1" applyFont="1" applyNumberFormat="1">
      <alignment horizontal="center" readingOrder="0"/>
    </xf>
    <xf borderId="0" fillId="9" fontId="0" numFmtId="0" xfId="0" applyAlignment="1" applyFont="1">
      <alignment horizontal="center" readingOrder="0"/>
    </xf>
    <xf borderId="0" fillId="9" fontId="0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10" fontId="1" numFmtId="164" xfId="0" applyAlignment="1" applyFill="1" applyFont="1" applyNumberFormat="1">
      <alignment horizontal="center" readingOrder="0"/>
    </xf>
    <xf borderId="0" fillId="0" fontId="2" numFmtId="21" xfId="0" applyAlignment="1" applyFont="1" applyNumberFormat="1">
      <alignment horizontal="center" readingOrder="0"/>
    </xf>
    <xf borderId="0" fillId="9" fontId="1" numFmtId="164" xfId="0" applyAlignment="1" applyFont="1" applyNumberFormat="1">
      <alignment horizontal="center" readingOrder="0"/>
    </xf>
    <xf borderId="0" fillId="9" fontId="6" numFmtId="0" xfId="0" applyAlignment="1" applyFont="1">
      <alignment horizontal="left" readingOrder="0"/>
    </xf>
    <xf borderId="0" fillId="9" fontId="0" numFmtId="21" xfId="0" applyAlignment="1" applyFont="1" applyNumberFormat="1">
      <alignment horizontal="center" readingOrder="0"/>
    </xf>
    <xf borderId="0" fillId="2" fontId="7" numFmtId="0" xfId="0" applyAlignment="1" applyFont="1">
      <alignment horizontal="center" readingOrder="0"/>
    </xf>
    <xf borderId="0" fillId="9" fontId="7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center" vertical="bottom"/>
    </xf>
    <xf borderId="0" fillId="9" fontId="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5"/>
    <col customWidth="1" min="19" max="19" width="16.5"/>
    <col customWidth="1" min="25" max="25" width="16.5"/>
    <col customWidth="1" min="31" max="31" width="16.5"/>
  </cols>
  <sheetData>
    <row r="1">
      <c r="A1" s="1"/>
      <c r="B1" s="1"/>
      <c r="C1" s="1">
        <v>46153.0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>
      <c r="A3" s="3" t="s">
        <v>0</v>
      </c>
      <c r="B3" s="3" t="s">
        <v>1</v>
      </c>
      <c r="C3" s="3" t="s">
        <v>2</v>
      </c>
      <c r="D3" s="4" t="s">
        <v>3</v>
      </c>
      <c r="H3" s="5" t="s">
        <v>4</v>
      </c>
      <c r="N3" s="6" t="s">
        <v>5</v>
      </c>
      <c r="T3" s="7" t="s">
        <v>6</v>
      </c>
      <c r="Z3" s="8" t="s">
        <v>7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>
      <c r="A4" s="3" t="s">
        <v>8</v>
      </c>
      <c r="B4" s="3" t="s">
        <v>8</v>
      </c>
      <c r="C4" s="3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5" t="s">
        <v>14</v>
      </c>
      <c r="I4" s="5" t="s">
        <v>11</v>
      </c>
      <c r="J4" s="5" t="s">
        <v>12</v>
      </c>
      <c r="K4" s="5" t="s">
        <v>13</v>
      </c>
      <c r="L4" s="5" t="s">
        <v>15</v>
      </c>
      <c r="M4" s="5" t="s">
        <v>16</v>
      </c>
      <c r="N4" s="6" t="s">
        <v>14</v>
      </c>
      <c r="O4" s="6" t="s">
        <v>11</v>
      </c>
      <c r="P4" s="6" t="s">
        <v>12</v>
      </c>
      <c r="Q4" s="6" t="s">
        <v>13</v>
      </c>
      <c r="R4" s="6" t="s">
        <v>15</v>
      </c>
      <c r="S4" s="6" t="s">
        <v>16</v>
      </c>
      <c r="T4" s="7" t="s">
        <v>14</v>
      </c>
      <c r="U4" s="7" t="s">
        <v>11</v>
      </c>
      <c r="V4" s="7" t="s">
        <v>12</v>
      </c>
      <c r="W4" s="7" t="s">
        <v>13</v>
      </c>
      <c r="X4" s="7" t="s">
        <v>15</v>
      </c>
      <c r="Y4" s="7" t="s">
        <v>16</v>
      </c>
      <c r="Z4" s="8" t="s">
        <v>14</v>
      </c>
      <c r="AA4" s="8" t="s">
        <v>11</v>
      </c>
      <c r="AB4" s="8" t="s">
        <v>12</v>
      </c>
      <c r="AC4" s="8" t="s">
        <v>13</v>
      </c>
      <c r="AD4" s="8" t="s">
        <v>17</v>
      </c>
      <c r="AE4" s="8" t="s">
        <v>16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>
      <c r="A5" s="9">
        <v>0.41457175925925926</v>
      </c>
      <c r="B5" s="10">
        <v>0.34373842592592596</v>
      </c>
      <c r="C5" s="11">
        <v>9626.843738</v>
      </c>
      <c r="D5" s="12">
        <v>3260.181332</v>
      </c>
      <c r="E5" s="12">
        <v>0.005932</v>
      </c>
      <c r="F5" s="12">
        <v>1046.129522</v>
      </c>
      <c r="G5" s="12">
        <v>0.005512</v>
      </c>
      <c r="H5" s="13">
        <v>3281.0</v>
      </c>
      <c r="I5" s="13">
        <v>1.0</v>
      </c>
      <c r="J5" s="13">
        <v>1041.0</v>
      </c>
      <c r="K5" s="13">
        <v>1.0</v>
      </c>
      <c r="L5" s="13">
        <f t="shared" ref="L5:L10" si="1">SQRT((D5-H5)^2+(F5-J5)^2)</f>
        <v>21.44129038</v>
      </c>
      <c r="M5" s="13">
        <f t="shared" ref="M5:M10" si="2">SQRT((((D5-H5)^2 * (E5^2+I5^2))+((F5-J5)^2 * (G5^2+K5^2)))/((D5-H5)^2+(F5-J5)^2))</f>
        <v>1.000017457</v>
      </c>
      <c r="N5" s="13">
        <v>3057.0</v>
      </c>
      <c r="O5" s="13">
        <v>1.0</v>
      </c>
      <c r="P5" s="13">
        <v>1095.0</v>
      </c>
      <c r="Q5" s="13">
        <v>1.0</v>
      </c>
      <c r="R5" s="13">
        <f t="shared" ref="R5:R12" si="3">SQRT((D5-N5)^2+(F5-P5)^2)</f>
        <v>208.9760209</v>
      </c>
      <c r="S5" s="13">
        <f t="shared" ref="S5:S12" si="4">SQRT((((D5-N5)^2 * (E5^2+O5^2))+((F5-P5)^2 * (G5^2+Q5^2)))/((D5-N5)^2+(F5-P5)^2))</f>
        <v>1.000017463</v>
      </c>
      <c r="T5" s="13">
        <v>3188.0</v>
      </c>
      <c r="U5" s="13">
        <v>1.0</v>
      </c>
      <c r="V5" s="13">
        <v>1066.0</v>
      </c>
      <c r="W5" s="13">
        <v>1.0</v>
      </c>
      <c r="X5" s="13">
        <f t="shared" ref="X5:X13" si="5">SQRT((D5-T5)^2+(F5-V5)^2)</f>
        <v>74.86641827</v>
      </c>
      <c r="Y5" s="13">
        <f t="shared" ref="Y5:Y13" si="6">SQRT((((D5-T5)^2 * (E5^2+U5^2))+((F5-V5)^2 * (G5^2+W5^2)))/((D5-T5)^2+(F5-V5)^2))</f>
        <v>1.000017425</v>
      </c>
      <c r="Z5" s="13">
        <v>3334.0</v>
      </c>
      <c r="AA5" s="13">
        <v>1.0</v>
      </c>
      <c r="AB5" s="13">
        <v>1029.0</v>
      </c>
      <c r="AC5" s="13">
        <v>1.0</v>
      </c>
      <c r="AD5" s="2">
        <f t="shared" ref="AD5:AD13" si="7">SQRT((D5-Z5)^2+(F5-AB5)^2)</f>
        <v>75.78005192</v>
      </c>
      <c r="AE5" s="2">
        <f t="shared" ref="AE5:AE13" si="8">SQRT((((D5-Z5)^2 * (E5^2+AA5^2))+((F5-AB5)^2 * (G5^2+AC5^2)))/((D5-Z5)^2+(F5-AB5)^2))</f>
        <v>1.000017471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>
      <c r="A6" s="9">
        <v>0.4246875</v>
      </c>
      <c r="B6" s="10">
        <v>0.3538541666666667</v>
      </c>
      <c r="C6" s="11">
        <v>9626.853854</v>
      </c>
      <c r="D6" s="12">
        <v>3302.513813</v>
      </c>
      <c r="E6" s="12">
        <v>0.010193</v>
      </c>
      <c r="F6" s="12">
        <v>1026.202327</v>
      </c>
      <c r="G6" s="12">
        <v>0.009762</v>
      </c>
      <c r="H6" s="13">
        <v>3322.0</v>
      </c>
      <c r="I6" s="13">
        <v>1.0</v>
      </c>
      <c r="J6" s="13">
        <v>1021.0</v>
      </c>
      <c r="K6" s="13">
        <v>1.0</v>
      </c>
      <c r="L6" s="13">
        <f t="shared" si="1"/>
        <v>20.16868092</v>
      </c>
      <c r="M6" s="13">
        <f t="shared" si="2"/>
        <v>1.000051661</v>
      </c>
      <c r="N6" s="13">
        <v>3099.5</v>
      </c>
      <c r="O6" s="13">
        <v>1.0</v>
      </c>
      <c r="P6" s="13">
        <v>1075.0</v>
      </c>
      <c r="Q6" s="13">
        <v>1.0</v>
      </c>
      <c r="R6" s="13">
        <f t="shared" si="3"/>
        <v>208.7961234</v>
      </c>
      <c r="S6" s="13">
        <f t="shared" si="4"/>
        <v>1.000051712</v>
      </c>
      <c r="T6" s="13">
        <v>3232.5</v>
      </c>
      <c r="U6" s="13">
        <v>1.0</v>
      </c>
      <c r="V6" s="13">
        <v>1046.0</v>
      </c>
      <c r="W6" s="13">
        <v>1.0</v>
      </c>
      <c r="X6" s="13">
        <f t="shared" si="5"/>
        <v>72.75906725</v>
      </c>
      <c r="Y6" s="13">
        <f t="shared" si="6"/>
        <v>1.000051629</v>
      </c>
      <c r="Z6" s="13">
        <v>3376.0</v>
      </c>
      <c r="AA6" s="13">
        <v>1.0</v>
      </c>
      <c r="AB6" s="13">
        <v>1009.0</v>
      </c>
      <c r="AC6" s="13">
        <v>1.0</v>
      </c>
      <c r="AD6" s="2">
        <f t="shared" si="7"/>
        <v>75.47277479</v>
      </c>
      <c r="AE6" s="2">
        <f t="shared" si="8"/>
        <v>1.000051724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>
      <c r="A7" s="9">
        <v>0.43472222222222223</v>
      </c>
      <c r="B7" s="10">
        <v>0.36388888888888893</v>
      </c>
      <c r="C7" s="11">
        <v>9626.863889</v>
      </c>
      <c r="D7" s="12">
        <v>3351.157518</v>
      </c>
      <c r="E7" s="12">
        <v>0.00598</v>
      </c>
      <c r="F7" s="12">
        <v>1008.839504</v>
      </c>
      <c r="G7" s="12">
        <v>0.005678</v>
      </c>
      <c r="H7" s="13">
        <v>3369.0</v>
      </c>
      <c r="I7" s="13">
        <v>1.0</v>
      </c>
      <c r="J7" s="13">
        <v>1004.0</v>
      </c>
      <c r="K7" s="13">
        <v>1.0</v>
      </c>
      <c r="L7" s="13">
        <f t="shared" si="1"/>
        <v>18.4871567</v>
      </c>
      <c r="M7" s="13">
        <f t="shared" si="2"/>
        <v>1.000017759</v>
      </c>
      <c r="N7" s="13">
        <v>3149.0</v>
      </c>
      <c r="O7" s="13">
        <v>1.0</v>
      </c>
      <c r="P7" s="13">
        <v>1057.0</v>
      </c>
      <c r="Q7" s="13">
        <v>1.0</v>
      </c>
      <c r="R7" s="13">
        <f t="shared" si="3"/>
        <v>207.8150511</v>
      </c>
      <c r="S7" s="13">
        <f t="shared" si="4"/>
        <v>1.000017785</v>
      </c>
      <c r="T7" s="13">
        <v>3281.5</v>
      </c>
      <c r="U7" s="13">
        <v>1.0</v>
      </c>
      <c r="V7" s="13">
        <v>1028.0</v>
      </c>
      <c r="W7" s="13">
        <v>1.0</v>
      </c>
      <c r="X7" s="13">
        <f t="shared" si="5"/>
        <v>72.24468438</v>
      </c>
      <c r="Y7" s="13">
        <f t="shared" si="6"/>
        <v>1.000017756</v>
      </c>
      <c r="Z7" s="13">
        <v>3425.0</v>
      </c>
      <c r="AA7" s="13">
        <v>1.0</v>
      </c>
      <c r="AB7" s="13">
        <v>991.5</v>
      </c>
      <c r="AC7" s="13">
        <v>1.0</v>
      </c>
      <c r="AD7" s="2">
        <f t="shared" si="7"/>
        <v>75.85097591</v>
      </c>
      <c r="AE7" s="2">
        <f t="shared" si="8"/>
        <v>1.000017788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>
      <c r="A8" s="9">
        <v>0.4450115740740741</v>
      </c>
      <c r="B8" s="10">
        <v>0.3741782407407408</v>
      </c>
      <c r="C8" s="11">
        <v>9626.874178</v>
      </c>
      <c r="D8" s="12">
        <v>3413.21159</v>
      </c>
      <c r="E8" s="12">
        <v>6.51E-4</v>
      </c>
      <c r="F8" s="12">
        <v>992.679635</v>
      </c>
      <c r="G8" s="12">
        <v>6.14E-4</v>
      </c>
      <c r="H8" s="13">
        <v>3430.0</v>
      </c>
      <c r="I8" s="13">
        <v>1.0</v>
      </c>
      <c r="J8" s="13">
        <v>988.5</v>
      </c>
      <c r="K8" s="13">
        <v>1.0</v>
      </c>
      <c r="L8" s="13">
        <f t="shared" si="1"/>
        <v>17.30086874</v>
      </c>
      <c r="M8" s="13">
        <f t="shared" si="2"/>
        <v>1.000000211</v>
      </c>
      <c r="N8" s="13">
        <v>3210.0</v>
      </c>
      <c r="O8" s="13">
        <v>1.0</v>
      </c>
      <c r="P8" s="13">
        <v>1041.0</v>
      </c>
      <c r="Q8" s="13">
        <v>1.0</v>
      </c>
      <c r="R8" s="13">
        <f t="shared" si="3"/>
        <v>208.8774952</v>
      </c>
      <c r="S8" s="13">
        <f t="shared" si="4"/>
        <v>1.000000211</v>
      </c>
      <c r="T8" s="13">
        <v>3345.0</v>
      </c>
      <c r="U8" s="13">
        <v>1.0</v>
      </c>
      <c r="V8" s="13">
        <v>1012.0</v>
      </c>
      <c r="W8" s="13">
        <v>1.0</v>
      </c>
      <c r="X8" s="13">
        <f t="shared" si="5"/>
        <v>70.89497524</v>
      </c>
      <c r="Y8" s="13">
        <f t="shared" si="6"/>
        <v>1.00000021</v>
      </c>
      <c r="Z8" s="13">
        <v>3487.5</v>
      </c>
      <c r="AA8" s="13">
        <v>1.0</v>
      </c>
      <c r="AB8" s="13">
        <v>976.0</v>
      </c>
      <c r="AC8" s="13">
        <v>1.0</v>
      </c>
      <c r="AD8" s="2">
        <f t="shared" si="7"/>
        <v>76.13788862</v>
      </c>
      <c r="AE8" s="2">
        <f t="shared" si="8"/>
        <v>1.000000211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>
      <c r="A9" s="9">
        <v>0.4560648148148148</v>
      </c>
      <c r="B9" s="10">
        <v>0.38523148148148145</v>
      </c>
      <c r="C9" s="11">
        <v>9626.885231</v>
      </c>
      <c r="D9" s="14">
        <v>3507.318383</v>
      </c>
      <c r="E9" s="14">
        <v>0.243787</v>
      </c>
      <c r="F9" s="14">
        <v>982.938785</v>
      </c>
      <c r="G9" s="14">
        <v>0.22991</v>
      </c>
      <c r="H9" s="13">
        <v>3523.0</v>
      </c>
      <c r="I9" s="13">
        <v>1.0</v>
      </c>
      <c r="J9" s="13">
        <v>979.0</v>
      </c>
      <c r="K9" s="13">
        <v>1.0</v>
      </c>
      <c r="L9" s="13">
        <f t="shared" si="1"/>
        <v>16.16870864</v>
      </c>
      <c r="M9" s="13">
        <f t="shared" si="2"/>
        <v>1.029097666</v>
      </c>
      <c r="N9" s="13">
        <v>3305.0</v>
      </c>
      <c r="O9" s="13">
        <v>1.0</v>
      </c>
      <c r="P9" s="13">
        <v>1031.0</v>
      </c>
      <c r="Q9" s="13">
        <v>1.0</v>
      </c>
      <c r="R9" s="13">
        <f t="shared" si="3"/>
        <v>207.9485717</v>
      </c>
      <c r="S9" s="13">
        <f t="shared" si="4"/>
        <v>1.029116595</v>
      </c>
      <c r="T9" s="13">
        <v>3440.0</v>
      </c>
      <c r="U9" s="13">
        <v>1.0</v>
      </c>
      <c r="V9" s="13">
        <v>1002.0</v>
      </c>
      <c r="W9" s="13">
        <v>1.0</v>
      </c>
      <c r="X9" s="13">
        <f t="shared" si="5"/>
        <v>69.9649527</v>
      </c>
      <c r="Y9" s="13">
        <f t="shared" si="6"/>
        <v>1.029050142</v>
      </c>
      <c r="Z9" s="13">
        <v>3581.5</v>
      </c>
      <c r="AA9" s="13">
        <v>1.0</v>
      </c>
      <c r="AB9" s="13">
        <v>965.5</v>
      </c>
      <c r="AC9" s="13">
        <v>1.0</v>
      </c>
      <c r="AD9" s="2">
        <f t="shared" si="7"/>
        <v>76.20382879</v>
      </c>
      <c r="AE9" s="2">
        <f t="shared" si="8"/>
        <v>1.02911994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>
      <c r="A10" s="9">
        <v>0.46597222222222223</v>
      </c>
      <c r="B10" s="10">
        <v>0.39513888888888893</v>
      </c>
      <c r="C10" s="11">
        <v>9626.895139</v>
      </c>
      <c r="D10" s="12">
        <v>3597.496443</v>
      </c>
      <c r="E10" s="12">
        <v>0.002327</v>
      </c>
      <c r="F10" s="12">
        <v>976.231322</v>
      </c>
      <c r="G10" s="12">
        <v>0.00222</v>
      </c>
      <c r="H10" s="13">
        <v>3613.0</v>
      </c>
      <c r="I10" s="13">
        <v>1.0</v>
      </c>
      <c r="J10" s="13">
        <v>972.0</v>
      </c>
      <c r="K10" s="13">
        <v>1.0</v>
      </c>
      <c r="L10" s="13">
        <f t="shared" si="1"/>
        <v>16.07060564</v>
      </c>
      <c r="M10" s="13">
        <f t="shared" si="2"/>
        <v>1.000002691</v>
      </c>
      <c r="N10" s="13">
        <v>3395.0</v>
      </c>
      <c r="O10" s="13">
        <v>1.0</v>
      </c>
      <c r="P10" s="13">
        <v>1024.0</v>
      </c>
      <c r="Q10" s="13">
        <v>1.0</v>
      </c>
      <c r="R10" s="13">
        <f t="shared" si="3"/>
        <v>208.0544545</v>
      </c>
      <c r="S10" s="13">
        <f t="shared" si="4"/>
        <v>1.000002695</v>
      </c>
      <c r="T10" s="13">
        <v>3530.5</v>
      </c>
      <c r="U10" s="13">
        <v>1.0</v>
      </c>
      <c r="V10" s="13">
        <v>955.0</v>
      </c>
      <c r="W10" s="13">
        <v>1.0</v>
      </c>
      <c r="X10" s="13">
        <f t="shared" si="5"/>
        <v>70.28009966</v>
      </c>
      <c r="Y10" s="13">
        <f t="shared" si="6"/>
        <v>1.000002685</v>
      </c>
      <c r="Z10" s="13">
        <v>3672.0</v>
      </c>
      <c r="AA10" s="13">
        <v>1.0</v>
      </c>
      <c r="AB10" s="13">
        <v>959.0</v>
      </c>
      <c r="AC10" s="13">
        <v>1.0</v>
      </c>
      <c r="AD10" s="2">
        <f t="shared" si="7"/>
        <v>76.47024561</v>
      </c>
      <c r="AE10" s="2">
        <f t="shared" si="8"/>
        <v>1.000002695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>
      <c r="A11" s="9">
        <v>0.47706018518518517</v>
      </c>
      <c r="B11" s="10">
        <v>0.4062268518518518</v>
      </c>
      <c r="C11" s="11">
        <v>9626.906227</v>
      </c>
      <c r="D11" s="12">
        <v>3735.157097</v>
      </c>
      <c r="E11" s="12">
        <v>0.007905</v>
      </c>
      <c r="F11" s="12">
        <v>978.152901</v>
      </c>
      <c r="G11" s="12">
        <v>0.007791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18</v>
      </c>
      <c r="N11" s="13">
        <v>3533.0</v>
      </c>
      <c r="O11" s="13">
        <v>1.0</v>
      </c>
      <c r="P11" s="13">
        <v>1026.0</v>
      </c>
      <c r="Q11" s="13">
        <v>1.0</v>
      </c>
      <c r="R11" s="13">
        <f t="shared" si="3"/>
        <v>207.7422363</v>
      </c>
      <c r="S11" s="13">
        <f t="shared" si="4"/>
        <v>1.000031197</v>
      </c>
      <c r="T11" s="13">
        <v>3670.0</v>
      </c>
      <c r="U11" s="13">
        <v>1.0</v>
      </c>
      <c r="V11" s="13">
        <v>997.0</v>
      </c>
      <c r="W11" s="13">
        <v>1.0</v>
      </c>
      <c r="X11" s="13">
        <f t="shared" si="5"/>
        <v>67.82816841</v>
      </c>
      <c r="Y11" s="13">
        <f t="shared" si="6"/>
        <v>1.000031175</v>
      </c>
      <c r="Z11" s="13">
        <v>3808.0</v>
      </c>
      <c r="AA11" s="13">
        <v>1.0</v>
      </c>
      <c r="AB11" s="13">
        <v>961.0</v>
      </c>
      <c r="AC11" s="13">
        <v>1.0</v>
      </c>
      <c r="AD11" s="2">
        <f t="shared" si="7"/>
        <v>74.83522252</v>
      </c>
      <c r="AE11" s="2">
        <f t="shared" si="8"/>
        <v>1.000031197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>
      <c r="A12" s="9">
        <v>0.4865625</v>
      </c>
      <c r="B12" s="10">
        <v>0.4157291666666667</v>
      </c>
      <c r="C12" s="11">
        <v>9626.915729</v>
      </c>
      <c r="D12" s="12">
        <v>3852.400773</v>
      </c>
      <c r="E12" s="12">
        <v>0.141197</v>
      </c>
      <c r="F12" s="12">
        <v>984.473536</v>
      </c>
      <c r="G12" s="12">
        <v>0.133929</v>
      </c>
      <c r="H12" s="13" t="s">
        <v>18</v>
      </c>
      <c r="I12" s="13" t="s">
        <v>18</v>
      </c>
      <c r="J12" s="13" t="s">
        <v>18</v>
      </c>
      <c r="K12" s="13" t="s">
        <v>18</v>
      </c>
      <c r="L12" s="13" t="s">
        <v>18</v>
      </c>
      <c r="M12" s="13" t="s">
        <v>18</v>
      </c>
      <c r="N12" s="13">
        <v>3651.0</v>
      </c>
      <c r="O12" s="13">
        <v>1.0</v>
      </c>
      <c r="P12" s="13">
        <v>1033.0</v>
      </c>
      <c r="Q12" s="13">
        <v>1.0</v>
      </c>
      <c r="R12" s="13">
        <f t="shared" si="3"/>
        <v>207.1644011</v>
      </c>
      <c r="S12" s="13">
        <f t="shared" si="4"/>
        <v>1.009864781</v>
      </c>
      <c r="T12" s="13">
        <v>3788.0</v>
      </c>
      <c r="U12" s="13">
        <v>1.0</v>
      </c>
      <c r="V12" s="13">
        <v>1003.0</v>
      </c>
      <c r="W12" s="13">
        <v>1.0</v>
      </c>
      <c r="X12" s="13">
        <f t="shared" si="5"/>
        <v>67.01260651</v>
      </c>
      <c r="Y12" s="13">
        <f t="shared" si="6"/>
        <v>1.009843433</v>
      </c>
      <c r="Z12" s="13">
        <v>3926.0</v>
      </c>
      <c r="AA12" s="13">
        <v>1.0</v>
      </c>
      <c r="AB12" s="13">
        <v>967.0</v>
      </c>
      <c r="AC12" s="13">
        <v>1.0</v>
      </c>
      <c r="AD12" s="2">
        <f t="shared" si="7"/>
        <v>75.64503074</v>
      </c>
      <c r="AE12" s="2">
        <f t="shared" si="8"/>
        <v>1.009866277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>
      <c r="A13" s="9">
        <v>0.5086689814814814</v>
      </c>
      <c r="B13" s="10">
        <v>0.4378356481481481</v>
      </c>
      <c r="C13" s="11">
        <v>9626.937836</v>
      </c>
      <c r="D13" s="12">
        <v>4034.119599</v>
      </c>
      <c r="E13" s="12">
        <v>0.145338</v>
      </c>
      <c r="F13" s="12">
        <v>978.581844</v>
      </c>
      <c r="G13" s="12">
        <v>0.145109</v>
      </c>
      <c r="H13" s="13" t="s">
        <v>18</v>
      </c>
      <c r="I13" s="13" t="s">
        <v>18</v>
      </c>
      <c r="J13" s="13" t="s">
        <v>18</v>
      </c>
      <c r="K13" s="13" t="s">
        <v>18</v>
      </c>
      <c r="L13" s="13" t="s">
        <v>18</v>
      </c>
      <c r="M13" s="13" t="s">
        <v>18</v>
      </c>
      <c r="N13" s="13" t="s">
        <v>18</v>
      </c>
      <c r="O13" s="13" t="s">
        <v>18</v>
      </c>
      <c r="P13" s="13" t="s">
        <v>18</v>
      </c>
      <c r="Q13" s="13" t="s">
        <v>18</v>
      </c>
      <c r="R13" s="13" t="s">
        <v>18</v>
      </c>
      <c r="S13" s="13" t="s">
        <v>18</v>
      </c>
      <c r="T13" s="13">
        <v>3970.0</v>
      </c>
      <c r="U13" s="13">
        <v>1.0</v>
      </c>
      <c r="V13" s="13">
        <v>998.0</v>
      </c>
      <c r="W13" s="13">
        <v>1.0</v>
      </c>
      <c r="X13" s="13">
        <f t="shared" si="5"/>
        <v>66.99543088</v>
      </c>
      <c r="Y13" s="13">
        <f t="shared" si="6"/>
        <v>1.01050361</v>
      </c>
      <c r="Z13" s="13">
        <v>4108.0</v>
      </c>
      <c r="AA13" s="13">
        <v>1.0</v>
      </c>
      <c r="AB13" s="13">
        <v>961.0</v>
      </c>
      <c r="AC13" s="13">
        <v>1.0</v>
      </c>
      <c r="AD13" s="2">
        <f t="shared" si="7"/>
        <v>75.94362969</v>
      </c>
      <c r="AE13" s="2">
        <f t="shared" si="8"/>
        <v>1.010504611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13"/>
      <c r="M14" s="13"/>
      <c r="N14" s="2"/>
      <c r="O14" s="2"/>
      <c r="P14" s="2"/>
      <c r="Q14" s="2"/>
      <c r="R14" s="13"/>
      <c r="S14" s="13"/>
      <c r="T14" s="2"/>
      <c r="U14" s="2"/>
      <c r="V14" s="2"/>
      <c r="W14" s="2"/>
      <c r="X14" s="13"/>
      <c r="Y14" s="13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3"/>
      <c r="M15" s="13"/>
      <c r="N15" s="2"/>
      <c r="O15" s="2"/>
      <c r="P15" s="2"/>
      <c r="Q15" s="2"/>
      <c r="R15" s="13"/>
      <c r="S15" s="13"/>
      <c r="T15" s="2"/>
      <c r="U15" s="2"/>
      <c r="V15" s="2"/>
      <c r="W15" s="2"/>
      <c r="X15" s="13"/>
      <c r="Y15" s="13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3"/>
      <c r="M16" s="13"/>
      <c r="N16" s="2"/>
      <c r="O16" s="2"/>
      <c r="P16" s="2"/>
      <c r="Q16" s="2"/>
      <c r="R16" s="13"/>
      <c r="S16" s="13"/>
      <c r="T16" s="2"/>
      <c r="U16" s="2"/>
      <c r="V16" s="2"/>
      <c r="W16" s="2"/>
      <c r="X16" s="13"/>
      <c r="Y16" s="13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3"/>
      <c r="M17" s="13"/>
      <c r="N17" s="2"/>
      <c r="O17" s="2"/>
      <c r="P17" s="2"/>
      <c r="Q17" s="2"/>
      <c r="R17" s="13"/>
      <c r="S17" s="13"/>
      <c r="T17" s="2"/>
      <c r="U17" s="2"/>
      <c r="V17" s="2"/>
      <c r="W17" s="2"/>
      <c r="X17" s="13"/>
      <c r="Y17" s="13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3"/>
      <c r="M18" s="13"/>
      <c r="N18" s="2"/>
      <c r="O18" s="2"/>
      <c r="P18" s="2"/>
      <c r="Q18" s="2"/>
      <c r="R18" s="13"/>
      <c r="S18" s="13"/>
      <c r="T18" s="2"/>
      <c r="U18" s="2"/>
      <c r="V18" s="2"/>
      <c r="W18" s="2"/>
      <c r="X18" s="13"/>
      <c r="Y18" s="13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3"/>
      <c r="M19" s="13"/>
      <c r="N19" s="2"/>
      <c r="O19" s="2"/>
      <c r="P19" s="2"/>
      <c r="Q19" s="2"/>
      <c r="R19" s="13"/>
      <c r="S19" s="13"/>
      <c r="T19" s="2"/>
      <c r="U19" s="2"/>
      <c r="V19" s="2"/>
      <c r="W19" s="2"/>
      <c r="X19" s="13"/>
      <c r="Y19" s="13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3"/>
      <c r="M20" s="13"/>
      <c r="N20" s="2"/>
      <c r="O20" s="2"/>
      <c r="P20" s="2"/>
      <c r="Q20" s="2"/>
      <c r="R20" s="13"/>
      <c r="S20" s="13"/>
      <c r="T20" s="2"/>
      <c r="U20" s="2"/>
      <c r="V20" s="2"/>
      <c r="W20" s="2"/>
      <c r="X20" s="13"/>
      <c r="Y20" s="13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>
      <c r="A21" s="1"/>
      <c r="B21" s="1"/>
      <c r="C21" s="1">
        <v>46154.0</v>
      </c>
      <c r="D21" s="2"/>
      <c r="E21" s="2"/>
      <c r="F21" s="2"/>
      <c r="G21" s="2"/>
      <c r="H21" s="2"/>
      <c r="I21" s="2"/>
      <c r="J21" s="2"/>
      <c r="K21" s="2"/>
      <c r="L21" s="13"/>
      <c r="M21" s="13"/>
      <c r="N21" s="2"/>
      <c r="O21" s="2"/>
      <c r="P21" s="2"/>
      <c r="Q21" s="2"/>
      <c r="R21" s="13"/>
      <c r="S21" s="13"/>
      <c r="T21" s="2"/>
      <c r="U21" s="2"/>
      <c r="V21" s="2"/>
      <c r="W21" s="2"/>
      <c r="X21" s="13"/>
      <c r="Y21" s="13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3"/>
      <c r="M22" s="13"/>
      <c r="N22" s="2"/>
      <c r="O22" s="2"/>
      <c r="P22" s="2"/>
      <c r="Q22" s="2"/>
      <c r="R22" s="13"/>
      <c r="S22" s="13"/>
      <c r="T22" s="2"/>
      <c r="U22" s="2"/>
      <c r="V22" s="2"/>
      <c r="W22" s="2"/>
      <c r="X22" s="13"/>
      <c r="Y22" s="13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>
      <c r="A23" s="3" t="s">
        <v>0</v>
      </c>
      <c r="B23" s="3" t="s">
        <v>1</v>
      </c>
      <c r="C23" s="3" t="s">
        <v>2</v>
      </c>
      <c r="D23" s="4" t="s">
        <v>3</v>
      </c>
      <c r="H23" s="5" t="s">
        <v>4</v>
      </c>
      <c r="N23" s="6" t="s">
        <v>5</v>
      </c>
      <c r="T23" s="7" t="s">
        <v>6</v>
      </c>
      <c r="Z23" s="8" t="s">
        <v>7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>
      <c r="A24" s="3" t="s">
        <v>8</v>
      </c>
      <c r="B24" s="3" t="s">
        <v>8</v>
      </c>
      <c r="C24" s="3" t="s">
        <v>9</v>
      </c>
      <c r="D24" s="4" t="s">
        <v>10</v>
      </c>
      <c r="E24" s="4" t="s">
        <v>11</v>
      </c>
      <c r="F24" s="4" t="s">
        <v>12</v>
      </c>
      <c r="G24" s="4" t="s">
        <v>13</v>
      </c>
      <c r="H24" s="5" t="s">
        <v>14</v>
      </c>
      <c r="I24" s="5" t="s">
        <v>11</v>
      </c>
      <c r="J24" s="5" t="s">
        <v>12</v>
      </c>
      <c r="K24" s="5" t="s">
        <v>13</v>
      </c>
      <c r="L24" s="5" t="s">
        <v>15</v>
      </c>
      <c r="M24" s="5" t="s">
        <v>16</v>
      </c>
      <c r="N24" s="6" t="s">
        <v>14</v>
      </c>
      <c r="O24" s="6" t="s">
        <v>11</v>
      </c>
      <c r="P24" s="6" t="s">
        <v>12</v>
      </c>
      <c r="Q24" s="6" t="s">
        <v>13</v>
      </c>
      <c r="R24" s="6" t="s">
        <v>15</v>
      </c>
      <c r="S24" s="6" t="s">
        <v>16</v>
      </c>
      <c r="T24" s="7" t="s">
        <v>14</v>
      </c>
      <c r="U24" s="7" t="s">
        <v>11</v>
      </c>
      <c r="V24" s="7" t="s">
        <v>12</v>
      </c>
      <c r="W24" s="7" t="s">
        <v>13</v>
      </c>
      <c r="X24" s="7" t="s">
        <v>15</v>
      </c>
      <c r="Y24" s="7" t="s">
        <v>16</v>
      </c>
      <c r="Z24" s="8" t="s">
        <v>14</v>
      </c>
      <c r="AA24" s="8" t="s">
        <v>11</v>
      </c>
      <c r="AB24" s="8" t="s">
        <v>12</v>
      </c>
      <c r="AC24" s="8" t="s">
        <v>13</v>
      </c>
      <c r="AD24" s="8" t="s">
        <v>17</v>
      </c>
      <c r="AE24" s="8" t="s">
        <v>16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>
      <c r="A25" s="9">
        <v>0.47880787037037037</v>
      </c>
      <c r="B25" s="15">
        <v>0.407974537037037</v>
      </c>
      <c r="C25" s="13">
        <v>9627.934109</v>
      </c>
      <c r="D25" s="12">
        <v>2207.259046</v>
      </c>
      <c r="E25" s="12">
        <v>0.001744</v>
      </c>
      <c r="F25" s="12">
        <v>2964.052748</v>
      </c>
      <c r="G25" s="12">
        <v>0.00177</v>
      </c>
      <c r="H25" s="13" t="s">
        <v>18</v>
      </c>
      <c r="I25" s="13" t="s">
        <v>18</v>
      </c>
      <c r="J25" s="13" t="s">
        <v>18</v>
      </c>
      <c r="K25" s="13" t="s">
        <v>18</v>
      </c>
      <c r="L25" s="13" t="s">
        <v>18</v>
      </c>
      <c r="M25" s="13" t="s">
        <v>18</v>
      </c>
      <c r="N25" s="13">
        <v>2285.5</v>
      </c>
      <c r="O25" s="13">
        <v>1.0</v>
      </c>
      <c r="P25" s="13">
        <v>3129.5</v>
      </c>
      <c r="Q25" s="13">
        <v>1.0</v>
      </c>
      <c r="R25" s="13">
        <f t="shared" ref="R25:R34" si="9">SQRT((D25-N25)^2+(F25-P25)^2)</f>
        <v>183.014863</v>
      </c>
      <c r="S25" s="13">
        <f t="shared" ref="S25:S34" si="10">SQRT((((D25-N25)^2 * (E25^2+O25^2))+((F25-P25)^2 * (G25^2+Q25^2)))/((D25-N25)^2+(F25-P25)^2))</f>
        <v>1.000001558</v>
      </c>
      <c r="T25" s="13">
        <v>2195.5</v>
      </c>
      <c r="U25" s="13">
        <v>1.0</v>
      </c>
      <c r="V25" s="13">
        <v>2934.0</v>
      </c>
      <c r="W25" s="13">
        <v>1.0</v>
      </c>
      <c r="X25" s="13">
        <f t="shared" ref="X25:X32" si="11">SQRT((D25-T25)^2+(F25-V25)^2)</f>
        <v>32.27139329</v>
      </c>
      <c r="Y25" s="13">
        <f t="shared" ref="Y25:Y32" si="12">SQRT((((D25-T25)^2 * (E25^2+U25^2))+((F25-V25)^2 * (G25^2+W25^2)))/((D25-T25)^2+(F25-V25)^2))</f>
        <v>1.00000156</v>
      </c>
      <c r="Z25" s="13" t="s">
        <v>18</v>
      </c>
      <c r="AA25" s="13" t="s">
        <v>18</v>
      </c>
      <c r="AB25" s="13" t="s">
        <v>18</v>
      </c>
      <c r="AC25" s="13" t="s">
        <v>18</v>
      </c>
      <c r="AD25" s="13" t="s">
        <v>18</v>
      </c>
      <c r="AE25" s="13" t="s">
        <v>18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>
      <c r="A26" s="9">
        <v>0.48181712962962964</v>
      </c>
      <c r="B26" s="15">
        <v>0.41098379629629633</v>
      </c>
      <c r="C26" s="13">
        <v>9627.910984</v>
      </c>
      <c r="D26" s="12">
        <v>2203.944028</v>
      </c>
      <c r="E26" s="12">
        <v>0.003147</v>
      </c>
      <c r="F26" s="12">
        <v>2918.495962</v>
      </c>
      <c r="G26" s="12">
        <v>0.003223</v>
      </c>
      <c r="H26" s="13" t="s">
        <v>18</v>
      </c>
      <c r="I26" s="13" t="s">
        <v>18</v>
      </c>
      <c r="J26" s="13" t="s">
        <v>18</v>
      </c>
      <c r="K26" s="13" t="s">
        <v>18</v>
      </c>
      <c r="L26" s="13" t="s">
        <v>18</v>
      </c>
      <c r="M26" s="13" t="s">
        <v>18</v>
      </c>
      <c r="N26" s="13">
        <v>2281.5</v>
      </c>
      <c r="O26" s="13">
        <v>1.0</v>
      </c>
      <c r="P26" s="13">
        <v>3083.0</v>
      </c>
      <c r="Q26" s="13">
        <v>1.0</v>
      </c>
      <c r="R26" s="13">
        <f t="shared" si="9"/>
        <v>181.8694788</v>
      </c>
      <c r="S26" s="13">
        <f t="shared" si="10"/>
        <v>1.00000515</v>
      </c>
      <c r="T26" s="13">
        <v>2193.0</v>
      </c>
      <c r="U26" s="13">
        <v>1.0</v>
      </c>
      <c r="V26" s="13">
        <v>2888.0</v>
      </c>
      <c r="W26" s="13">
        <v>1.0</v>
      </c>
      <c r="X26" s="13">
        <f t="shared" si="11"/>
        <v>32.40023838</v>
      </c>
      <c r="Y26" s="13">
        <f t="shared" si="12"/>
        <v>1.000005166</v>
      </c>
      <c r="Z26" s="13">
        <v>2210.0</v>
      </c>
      <c r="AA26" s="13">
        <v>1.0</v>
      </c>
      <c r="AB26" s="13">
        <v>2934.0</v>
      </c>
      <c r="AC26" s="13">
        <v>1.0</v>
      </c>
      <c r="AD26" s="2">
        <f t="shared" ref="AD26:AD28" si="13">SQRT((D26-Z26)^2+(F26-AB26)^2)</f>
        <v>16.64481875</v>
      </c>
      <c r="AE26" s="2">
        <f t="shared" ref="AE26:AE28" si="14">SQRT((((D26-Z26)^2 * (E26^2+AA26^2))+((F26-AB26)^2 * (G26^2+AC26^2)))/((D26-Z26)^2+(F26-AB26)^2))</f>
        <v>1.000005162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>
      <c r="A27" s="9">
        <v>0.5049421296296296</v>
      </c>
      <c r="B27" s="15">
        <v>0.4341087962962963</v>
      </c>
      <c r="C27" s="13">
        <v>9627.907975</v>
      </c>
      <c r="D27" s="13">
        <v>2160.825753</v>
      </c>
      <c r="E27" s="12">
        <v>0.009601</v>
      </c>
      <c r="F27" s="12">
        <v>2726.326246</v>
      </c>
      <c r="G27" s="12">
        <v>0.009715</v>
      </c>
      <c r="H27" s="13" t="s">
        <v>18</v>
      </c>
      <c r="I27" s="13" t="s">
        <v>18</v>
      </c>
      <c r="J27" s="13" t="s">
        <v>18</v>
      </c>
      <c r="K27" s="13" t="s">
        <v>18</v>
      </c>
      <c r="L27" s="13" t="s">
        <v>18</v>
      </c>
      <c r="M27" s="13" t="s">
        <v>18</v>
      </c>
      <c r="N27" s="13">
        <v>2238.0</v>
      </c>
      <c r="O27" s="13">
        <v>1.0</v>
      </c>
      <c r="P27" s="13">
        <v>2890.0</v>
      </c>
      <c r="Q27" s="13">
        <v>1.0</v>
      </c>
      <c r="R27" s="13">
        <f t="shared" si="9"/>
        <v>180.9556911</v>
      </c>
      <c r="S27" s="13">
        <f t="shared" si="10"/>
        <v>1.000046989</v>
      </c>
      <c r="T27" s="13">
        <v>2149.0</v>
      </c>
      <c r="U27" s="13">
        <v>1.0</v>
      </c>
      <c r="V27" s="13">
        <v>2694.0</v>
      </c>
      <c r="W27" s="13">
        <v>1.0</v>
      </c>
      <c r="X27" s="13">
        <f t="shared" si="11"/>
        <v>34.42142668</v>
      </c>
      <c r="Y27" s="13">
        <f t="shared" si="12"/>
        <v>1.00004706</v>
      </c>
      <c r="Z27" s="13">
        <v>2168.0</v>
      </c>
      <c r="AA27" s="13">
        <v>1.0</v>
      </c>
      <c r="AB27" s="13">
        <v>2745.0</v>
      </c>
      <c r="AC27" s="13">
        <v>1.0</v>
      </c>
      <c r="AD27" s="2">
        <f t="shared" si="13"/>
        <v>20.00447221</v>
      </c>
      <c r="AE27" s="2">
        <f t="shared" si="14"/>
        <v>1.000047048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>
      <c r="A28" s="9">
        <v>0.47422453703703704</v>
      </c>
      <c r="B28" s="15">
        <v>0.40339120370370374</v>
      </c>
      <c r="C28" s="13">
        <v>9627.903391</v>
      </c>
      <c r="D28" s="12">
        <v>2217.905105</v>
      </c>
      <c r="E28" s="12">
        <v>0.00341</v>
      </c>
      <c r="F28" s="12">
        <v>3002.264401</v>
      </c>
      <c r="G28" s="12">
        <v>0.003423</v>
      </c>
      <c r="H28" s="13" t="s">
        <v>18</v>
      </c>
      <c r="I28" s="13" t="s">
        <v>18</v>
      </c>
      <c r="J28" s="13" t="s">
        <v>18</v>
      </c>
      <c r="K28" s="13" t="s">
        <v>18</v>
      </c>
      <c r="L28" s="13" t="s">
        <v>18</v>
      </c>
      <c r="M28" s="13" t="s">
        <v>18</v>
      </c>
      <c r="N28" s="13">
        <v>2297.0</v>
      </c>
      <c r="O28" s="13">
        <v>1.0</v>
      </c>
      <c r="P28" s="13">
        <v>3168.0</v>
      </c>
      <c r="Q28" s="13">
        <v>1.0</v>
      </c>
      <c r="R28" s="13">
        <f t="shared" si="9"/>
        <v>183.6417469</v>
      </c>
      <c r="S28" s="13">
        <f t="shared" si="10"/>
        <v>1.00000585</v>
      </c>
      <c r="T28" s="13">
        <v>2972.5</v>
      </c>
      <c r="U28" s="13">
        <v>1.0</v>
      </c>
      <c r="V28" s="13">
        <v>2208.0</v>
      </c>
      <c r="W28" s="13">
        <v>1.0</v>
      </c>
      <c r="X28" s="13">
        <f t="shared" si="11"/>
        <v>1095.568069</v>
      </c>
      <c r="Y28" s="13">
        <f t="shared" si="12"/>
        <v>1.000005837</v>
      </c>
      <c r="Z28" s="13">
        <v>2213.0</v>
      </c>
      <c r="AA28" s="13">
        <v>1.0</v>
      </c>
      <c r="AB28" s="13">
        <v>2979.0</v>
      </c>
      <c r="AC28" s="13">
        <v>1.0</v>
      </c>
      <c r="AD28" s="2">
        <f t="shared" si="13"/>
        <v>23.77587872</v>
      </c>
      <c r="AE28" s="2">
        <f t="shared" si="14"/>
        <v>1.000005857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>
      <c r="A29" s="9">
        <v>0.46131944444444445</v>
      </c>
      <c r="B29" s="15">
        <v>0.3904861111111111</v>
      </c>
      <c r="C29" s="13">
        <v>9627.890486</v>
      </c>
      <c r="D29" s="12">
        <v>2249.037955</v>
      </c>
      <c r="E29" s="12">
        <v>0.00509</v>
      </c>
      <c r="F29" s="12">
        <v>3159.324479</v>
      </c>
      <c r="G29" s="12">
        <v>0.005406</v>
      </c>
      <c r="H29" s="13" t="s">
        <v>18</v>
      </c>
      <c r="I29" s="13" t="s">
        <v>18</v>
      </c>
      <c r="J29" s="13" t="s">
        <v>18</v>
      </c>
      <c r="K29" s="13" t="s">
        <v>18</v>
      </c>
      <c r="L29" s="13" t="s">
        <v>18</v>
      </c>
      <c r="M29" s="13" t="s">
        <v>18</v>
      </c>
      <c r="N29" s="13">
        <v>2328.0</v>
      </c>
      <c r="O29" s="13">
        <v>1.0</v>
      </c>
      <c r="P29" s="13">
        <v>3325.5</v>
      </c>
      <c r="Q29" s="13">
        <v>1.0</v>
      </c>
      <c r="R29" s="13">
        <f t="shared" si="9"/>
        <v>183.9818152</v>
      </c>
      <c r="S29" s="13">
        <f t="shared" si="10"/>
        <v>1.000014307</v>
      </c>
      <c r="T29" s="13">
        <v>2239.5</v>
      </c>
      <c r="U29" s="13">
        <v>1.0</v>
      </c>
      <c r="V29" s="13">
        <v>3130.5</v>
      </c>
      <c r="W29" s="13">
        <v>1.0</v>
      </c>
      <c r="X29" s="13">
        <f t="shared" si="11"/>
        <v>30.36154105</v>
      </c>
      <c r="Y29" s="13">
        <f t="shared" si="12"/>
        <v>1.000014449</v>
      </c>
      <c r="Z29" s="13" t="s">
        <v>18</v>
      </c>
      <c r="AA29" s="13" t="s">
        <v>18</v>
      </c>
      <c r="AB29" s="13" t="s">
        <v>18</v>
      </c>
      <c r="AC29" s="13" t="s">
        <v>18</v>
      </c>
      <c r="AD29" s="13" t="s">
        <v>18</v>
      </c>
      <c r="AE29" s="13" t="s">
        <v>18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>
      <c r="A30" s="9">
        <v>0.4541898148148148</v>
      </c>
      <c r="B30" s="15">
        <v>0.3833564814814815</v>
      </c>
      <c r="C30" s="13">
        <v>9627.883356</v>
      </c>
      <c r="D30" s="13">
        <v>2267.932113</v>
      </c>
      <c r="E30" s="13">
        <v>0.010447</v>
      </c>
      <c r="F30" s="13">
        <v>3202.777415</v>
      </c>
      <c r="G30" s="13">
        <v>0.010898</v>
      </c>
      <c r="H30" s="13" t="s">
        <v>18</v>
      </c>
      <c r="I30" s="13" t="s">
        <v>18</v>
      </c>
      <c r="J30" s="13" t="s">
        <v>18</v>
      </c>
      <c r="K30" s="13" t="s">
        <v>18</v>
      </c>
      <c r="L30" s="13" t="s">
        <v>18</v>
      </c>
      <c r="M30" s="13" t="s">
        <v>18</v>
      </c>
      <c r="N30" s="13">
        <v>2347.0</v>
      </c>
      <c r="O30" s="13">
        <v>1.0</v>
      </c>
      <c r="P30" s="13">
        <v>3369.0</v>
      </c>
      <c r="Q30" s="13">
        <v>1.0</v>
      </c>
      <c r="R30" s="13">
        <f t="shared" si="9"/>
        <v>184.0697654</v>
      </c>
      <c r="S30" s="13">
        <f t="shared" si="10"/>
        <v>1.000058493</v>
      </c>
      <c r="T30" s="13">
        <v>2259.0</v>
      </c>
      <c r="U30" s="13">
        <v>1.0</v>
      </c>
      <c r="V30" s="13">
        <v>3174.0</v>
      </c>
      <c r="W30" s="13">
        <v>1.0</v>
      </c>
      <c r="X30" s="13">
        <f t="shared" si="11"/>
        <v>30.13174832</v>
      </c>
      <c r="Y30" s="13">
        <f t="shared" si="12"/>
        <v>1.000058959</v>
      </c>
      <c r="Z30" s="13" t="s">
        <v>18</v>
      </c>
      <c r="AA30" s="13" t="s">
        <v>18</v>
      </c>
      <c r="AB30" s="13" t="s">
        <v>18</v>
      </c>
      <c r="AC30" s="13" t="s">
        <v>18</v>
      </c>
      <c r="AD30" s="13" t="s">
        <v>18</v>
      </c>
      <c r="AE30" s="13" t="s">
        <v>18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>
      <c r="A31" s="9">
        <v>0.44623842592592594</v>
      </c>
      <c r="B31" s="15">
        <v>0.3754050925925926</v>
      </c>
      <c r="C31" s="13">
        <v>9627.875405</v>
      </c>
      <c r="D31" s="13">
        <v>2287.835157</v>
      </c>
      <c r="E31" s="13">
        <v>4.33E-4</v>
      </c>
      <c r="F31" s="13">
        <v>3247.466777</v>
      </c>
      <c r="G31" s="13">
        <v>4.61E-4</v>
      </c>
      <c r="H31" s="13" t="s">
        <v>18</v>
      </c>
      <c r="I31" s="13" t="s">
        <v>18</v>
      </c>
      <c r="J31" s="13" t="s">
        <v>18</v>
      </c>
      <c r="K31" s="13" t="s">
        <v>18</v>
      </c>
      <c r="L31" s="13" t="s">
        <v>18</v>
      </c>
      <c r="M31" s="13" t="s">
        <v>18</v>
      </c>
      <c r="N31" s="13">
        <v>2367.0</v>
      </c>
      <c r="O31" s="13">
        <v>1.0</v>
      </c>
      <c r="P31" s="13">
        <v>3413.0</v>
      </c>
      <c r="Q31" s="13">
        <v>1.0</v>
      </c>
      <c r="R31" s="13">
        <f t="shared" si="9"/>
        <v>183.489292</v>
      </c>
      <c r="S31" s="13">
        <f t="shared" si="10"/>
        <v>1.000000104</v>
      </c>
      <c r="T31" s="13">
        <v>2279.0</v>
      </c>
      <c r="U31" s="13">
        <v>1.0</v>
      </c>
      <c r="V31" s="13">
        <v>3219.0</v>
      </c>
      <c r="W31" s="13">
        <v>1.0</v>
      </c>
      <c r="X31" s="13">
        <f t="shared" si="11"/>
        <v>29.80633141</v>
      </c>
      <c r="Y31" s="13">
        <f t="shared" si="12"/>
        <v>1.000000105</v>
      </c>
      <c r="Z31" s="13" t="s">
        <v>18</v>
      </c>
      <c r="AA31" s="13" t="s">
        <v>18</v>
      </c>
      <c r="AB31" s="13" t="s">
        <v>18</v>
      </c>
      <c r="AC31" s="13" t="s">
        <v>18</v>
      </c>
      <c r="AD31" s="13" t="s">
        <v>18</v>
      </c>
      <c r="AE31" s="13" t="s">
        <v>18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>
      <c r="A32" s="9">
        <v>0.43873842592592593</v>
      </c>
      <c r="B32" s="15">
        <v>0.36790509259259263</v>
      </c>
      <c r="C32" s="13">
        <v>9627.867905</v>
      </c>
      <c r="D32" s="13">
        <v>2307.095888</v>
      </c>
      <c r="E32" s="13">
        <v>7.27E-4</v>
      </c>
      <c r="F32" s="13">
        <v>3287.458801</v>
      </c>
      <c r="G32" s="13">
        <v>7.68E-4</v>
      </c>
      <c r="H32" s="13" t="s">
        <v>18</v>
      </c>
      <c r="I32" s="13" t="s">
        <v>18</v>
      </c>
      <c r="J32" s="13" t="s">
        <v>18</v>
      </c>
      <c r="K32" s="13" t="s">
        <v>18</v>
      </c>
      <c r="L32" s="13" t="s">
        <v>18</v>
      </c>
      <c r="M32" s="13" t="s">
        <v>18</v>
      </c>
      <c r="N32" s="13">
        <v>2386.0</v>
      </c>
      <c r="O32" s="13">
        <v>1.0</v>
      </c>
      <c r="P32" s="13">
        <v>3454.0</v>
      </c>
      <c r="Q32" s="13">
        <v>1.0</v>
      </c>
      <c r="R32" s="13">
        <f t="shared" si="9"/>
        <v>184.2873567</v>
      </c>
      <c r="S32" s="13">
        <f t="shared" si="10"/>
        <v>1.000000289</v>
      </c>
      <c r="T32" s="13">
        <v>2299.0</v>
      </c>
      <c r="U32" s="13">
        <v>1.0</v>
      </c>
      <c r="V32" s="13">
        <v>3260.0</v>
      </c>
      <c r="W32" s="13">
        <v>1.0</v>
      </c>
      <c r="X32" s="13">
        <f t="shared" si="11"/>
        <v>28.62741963</v>
      </c>
      <c r="Y32" s="13">
        <f t="shared" si="12"/>
        <v>1.000000292</v>
      </c>
      <c r="Z32" s="13" t="s">
        <v>18</v>
      </c>
      <c r="AA32" s="13" t="s">
        <v>18</v>
      </c>
      <c r="AB32" s="13" t="s">
        <v>18</v>
      </c>
      <c r="AC32" s="13" t="s">
        <v>18</v>
      </c>
      <c r="AD32" s="13" t="s">
        <v>18</v>
      </c>
      <c r="AE32" s="13" t="s">
        <v>18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>
      <c r="A33" s="9">
        <v>0.4348263888888889</v>
      </c>
      <c r="B33" s="15">
        <v>0.3639930555555556</v>
      </c>
      <c r="C33" s="13">
        <v>9627.863993</v>
      </c>
      <c r="D33" s="13">
        <v>2317.787666</v>
      </c>
      <c r="E33" s="13">
        <v>9.95E-4</v>
      </c>
      <c r="F33" s="13">
        <v>3305.491275</v>
      </c>
      <c r="G33" s="13">
        <v>0.001044</v>
      </c>
      <c r="H33" s="13" t="s">
        <v>18</v>
      </c>
      <c r="I33" s="13" t="s">
        <v>18</v>
      </c>
      <c r="J33" s="13" t="s">
        <v>18</v>
      </c>
      <c r="K33" s="13" t="s">
        <v>18</v>
      </c>
      <c r="L33" s="13" t="s">
        <v>18</v>
      </c>
      <c r="M33" s="13" t="s">
        <v>18</v>
      </c>
      <c r="N33" s="13">
        <v>2396.0</v>
      </c>
      <c r="O33" s="13">
        <v>1.0</v>
      </c>
      <c r="P33" s="13">
        <v>3471.0</v>
      </c>
      <c r="Q33" s="13">
        <v>1.0</v>
      </c>
      <c r="R33" s="13">
        <f t="shared" si="9"/>
        <v>183.0582072</v>
      </c>
      <c r="S33" s="13">
        <f t="shared" si="10"/>
        <v>1.000000536</v>
      </c>
      <c r="T33" s="13" t="s">
        <v>18</v>
      </c>
      <c r="U33" s="13" t="s">
        <v>18</v>
      </c>
      <c r="V33" s="13" t="s">
        <v>18</v>
      </c>
      <c r="W33" s="13" t="s">
        <v>18</v>
      </c>
      <c r="X33" s="13" t="s">
        <v>18</v>
      </c>
      <c r="Y33" s="13" t="s">
        <v>18</v>
      </c>
      <c r="Z33" s="13" t="s">
        <v>18</v>
      </c>
      <c r="AA33" s="13" t="s">
        <v>18</v>
      </c>
      <c r="AB33" s="13" t="s">
        <v>18</v>
      </c>
      <c r="AC33" s="13" t="s">
        <v>18</v>
      </c>
      <c r="AD33" s="13" t="s">
        <v>18</v>
      </c>
      <c r="AE33" s="13" t="s">
        <v>18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>
      <c r="A34" s="9">
        <v>0.4301273148148148</v>
      </c>
      <c r="B34" s="15">
        <v>0.3592939814814815</v>
      </c>
      <c r="C34" s="13">
        <v>9627.859294</v>
      </c>
      <c r="D34" s="13">
        <v>2332.730526</v>
      </c>
      <c r="E34" s="13">
        <v>0.009181</v>
      </c>
      <c r="F34" s="13">
        <v>3356.172476</v>
      </c>
      <c r="G34" s="13">
        <v>0.009468</v>
      </c>
      <c r="H34" s="13" t="s">
        <v>18</v>
      </c>
      <c r="I34" s="13" t="s">
        <v>18</v>
      </c>
      <c r="J34" s="13" t="s">
        <v>18</v>
      </c>
      <c r="K34" s="13" t="s">
        <v>18</v>
      </c>
      <c r="L34" s="13" t="s">
        <v>18</v>
      </c>
      <c r="M34" s="13" t="s">
        <v>18</v>
      </c>
      <c r="N34" s="13">
        <v>2411.0</v>
      </c>
      <c r="O34" s="13">
        <v>1.0</v>
      </c>
      <c r="P34" s="13">
        <v>3523.0</v>
      </c>
      <c r="Q34" s="13">
        <v>1.0</v>
      </c>
      <c r="R34" s="13">
        <f t="shared" si="9"/>
        <v>184.2756992</v>
      </c>
      <c r="S34" s="13">
        <f t="shared" si="10"/>
        <v>1.000044338</v>
      </c>
      <c r="T34" s="13" t="s">
        <v>18</v>
      </c>
      <c r="U34" s="13" t="s">
        <v>18</v>
      </c>
      <c r="V34" s="13" t="s">
        <v>18</v>
      </c>
      <c r="W34" s="13" t="s">
        <v>18</v>
      </c>
      <c r="X34" s="13" t="s">
        <v>18</v>
      </c>
      <c r="Y34" s="13" t="s">
        <v>18</v>
      </c>
      <c r="Z34" s="13" t="s">
        <v>18</v>
      </c>
      <c r="AA34" s="13" t="s">
        <v>18</v>
      </c>
      <c r="AB34" s="13" t="s">
        <v>18</v>
      </c>
      <c r="AC34" s="13" t="s">
        <v>18</v>
      </c>
      <c r="AD34" s="13" t="s">
        <v>18</v>
      </c>
      <c r="AE34" s="13" t="s">
        <v>18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>
      <c r="L35" s="13"/>
      <c r="M35" s="13"/>
      <c r="R35" s="13"/>
      <c r="S35" s="13"/>
      <c r="X35" s="13"/>
      <c r="Y35" s="1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>
      <c r="L36" s="13"/>
      <c r="M36" s="13"/>
      <c r="R36" s="13"/>
      <c r="S36" s="13"/>
      <c r="X36" s="13"/>
      <c r="Y36" s="1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3"/>
      <c r="M37" s="13"/>
      <c r="N37" s="2"/>
      <c r="O37" s="2"/>
      <c r="P37" s="2"/>
      <c r="Q37" s="2"/>
      <c r="R37" s="13"/>
      <c r="S37" s="13"/>
      <c r="T37" s="2"/>
      <c r="U37" s="2"/>
      <c r="V37" s="2"/>
      <c r="W37" s="2"/>
      <c r="X37" s="13"/>
      <c r="Y37" s="13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3"/>
      <c r="M38" s="13"/>
      <c r="N38" s="2"/>
      <c r="O38" s="2"/>
      <c r="P38" s="2"/>
      <c r="Q38" s="2"/>
      <c r="R38" s="13"/>
      <c r="S38" s="13"/>
      <c r="T38" s="2"/>
      <c r="U38" s="2"/>
      <c r="V38" s="2"/>
      <c r="W38" s="2"/>
      <c r="X38" s="13"/>
      <c r="Y38" s="1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>
      <c r="A39" s="1"/>
      <c r="B39" s="1"/>
      <c r="C39" s="1">
        <v>46155.0</v>
      </c>
      <c r="D39" s="2"/>
      <c r="E39" s="2"/>
      <c r="F39" s="2"/>
      <c r="G39" s="2"/>
      <c r="H39" s="2"/>
      <c r="I39" s="2"/>
      <c r="J39" s="2"/>
      <c r="K39" s="2"/>
      <c r="L39" s="13"/>
      <c r="M39" s="13"/>
      <c r="N39" s="2"/>
      <c r="O39" s="2"/>
      <c r="P39" s="2"/>
      <c r="Q39" s="2"/>
      <c r="R39" s="13"/>
      <c r="S39" s="13"/>
      <c r="T39" s="2"/>
      <c r="U39" s="2"/>
      <c r="V39" s="2"/>
      <c r="W39" s="2"/>
      <c r="X39" s="13"/>
      <c r="Y39" s="13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3"/>
      <c r="M40" s="13"/>
      <c r="N40" s="2"/>
      <c r="O40" s="2"/>
      <c r="P40" s="2"/>
      <c r="Q40" s="2"/>
      <c r="R40" s="13"/>
      <c r="S40" s="13"/>
      <c r="T40" s="2"/>
      <c r="U40" s="2"/>
      <c r="V40" s="2"/>
      <c r="W40" s="2"/>
      <c r="X40" s="13"/>
      <c r="Y40" s="13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>
      <c r="A41" s="3" t="s">
        <v>0</v>
      </c>
      <c r="B41" s="3" t="s">
        <v>1</v>
      </c>
      <c r="C41" s="3" t="s">
        <v>19</v>
      </c>
      <c r="D41" s="4" t="s">
        <v>3</v>
      </c>
      <c r="H41" s="5" t="s">
        <v>4</v>
      </c>
      <c r="N41" s="6" t="s">
        <v>5</v>
      </c>
      <c r="T41" s="7" t="s">
        <v>6</v>
      </c>
      <c r="Z41" s="8" t="s">
        <v>7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>
      <c r="A42" s="3" t="s">
        <v>8</v>
      </c>
      <c r="B42" s="3" t="s">
        <v>8</v>
      </c>
      <c r="C42" s="3" t="s">
        <v>9</v>
      </c>
      <c r="D42" s="4" t="s">
        <v>10</v>
      </c>
      <c r="E42" s="4" t="s">
        <v>11</v>
      </c>
      <c r="F42" s="4" t="s">
        <v>12</v>
      </c>
      <c r="G42" s="4" t="s">
        <v>13</v>
      </c>
      <c r="H42" s="5" t="s">
        <v>14</v>
      </c>
      <c r="I42" s="5" t="s">
        <v>11</v>
      </c>
      <c r="J42" s="5" t="s">
        <v>12</v>
      </c>
      <c r="K42" s="5" t="s">
        <v>13</v>
      </c>
      <c r="L42" s="5" t="s">
        <v>15</v>
      </c>
      <c r="M42" s="5" t="s">
        <v>16</v>
      </c>
      <c r="N42" s="6" t="s">
        <v>14</v>
      </c>
      <c r="O42" s="6" t="s">
        <v>11</v>
      </c>
      <c r="P42" s="6" t="s">
        <v>12</v>
      </c>
      <c r="Q42" s="6" t="s">
        <v>13</v>
      </c>
      <c r="R42" s="6" t="s">
        <v>15</v>
      </c>
      <c r="S42" s="6" t="s">
        <v>16</v>
      </c>
      <c r="T42" s="7" t="s">
        <v>14</v>
      </c>
      <c r="U42" s="7" t="s">
        <v>11</v>
      </c>
      <c r="V42" s="7" t="s">
        <v>12</v>
      </c>
      <c r="W42" s="7" t="s">
        <v>13</v>
      </c>
      <c r="X42" s="7" t="s">
        <v>15</v>
      </c>
      <c r="Y42" s="7" t="s">
        <v>16</v>
      </c>
      <c r="Z42" s="8" t="s">
        <v>14</v>
      </c>
      <c r="AA42" s="8" t="s">
        <v>11</v>
      </c>
      <c r="AB42" s="8" t="s">
        <v>12</v>
      </c>
      <c r="AC42" s="8" t="s">
        <v>13</v>
      </c>
      <c r="AD42" s="8" t="s">
        <v>17</v>
      </c>
      <c r="AE42" s="8" t="s">
        <v>16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>
      <c r="A43" s="9">
        <v>0.3965972222222222</v>
      </c>
      <c r="B43" s="15">
        <v>0.32576388888888885</v>
      </c>
      <c r="C43" s="13">
        <v>9628.825764</v>
      </c>
      <c r="D43" s="16">
        <v>2311.303833</v>
      </c>
      <c r="E43" s="17">
        <v>0.004231</v>
      </c>
      <c r="F43" s="16">
        <v>2897.478538</v>
      </c>
      <c r="G43" s="17">
        <v>0.004419</v>
      </c>
      <c r="H43" s="13" t="s">
        <v>18</v>
      </c>
      <c r="I43" s="13" t="s">
        <v>18</v>
      </c>
      <c r="J43" s="13" t="s">
        <v>18</v>
      </c>
      <c r="K43" s="13" t="s">
        <v>18</v>
      </c>
      <c r="L43" s="13" t="s">
        <v>18</v>
      </c>
      <c r="M43" s="13" t="s">
        <v>18</v>
      </c>
      <c r="N43" s="13">
        <v>2337.0</v>
      </c>
      <c r="O43" s="13">
        <v>1.0</v>
      </c>
      <c r="P43" s="13">
        <v>3033.0</v>
      </c>
      <c r="Q43" s="13">
        <v>1.0</v>
      </c>
      <c r="R43" s="13">
        <f t="shared" ref="R43:R52" si="15">SQRT((D43-N43)^2+(F43-P43)^2)</f>
        <v>137.9360709</v>
      </c>
      <c r="S43" s="13">
        <f t="shared" ref="S43:S52" si="16">SQRT((((D43-N43)^2 * (E43^2+O43^2))+((F43-P43)^2 * (G43^2+Q43^2)))/((D43-N43)^2+(F43-P43)^2))</f>
        <v>1.000009736</v>
      </c>
      <c r="T43" s="13">
        <v>2295.0</v>
      </c>
      <c r="U43" s="13">
        <v>1.0</v>
      </c>
      <c r="V43" s="13">
        <v>2793.0</v>
      </c>
      <c r="W43" s="13">
        <v>1.0</v>
      </c>
      <c r="X43" s="13">
        <f t="shared" ref="X43:X52" si="17">SQRT((D43-T43)^2+(F43-V43)^2)</f>
        <v>105.7429897</v>
      </c>
      <c r="Y43" s="13">
        <f t="shared" ref="Y43:Y52" si="18">SQRT((((D43-T43)^2 * (E43^2+U43^2))+((F43-V43)^2 * (G43^2+W43^2)))/((D43-T43)^2+(F43-V43)^2))</f>
        <v>1.000009744</v>
      </c>
      <c r="Z43" s="13">
        <v>2324.0</v>
      </c>
      <c r="AA43" s="13">
        <v>1.0</v>
      </c>
      <c r="AB43" s="13">
        <v>2967.0</v>
      </c>
      <c r="AC43" s="13">
        <v>1.0</v>
      </c>
      <c r="AD43" s="2">
        <f t="shared" ref="AD43:AD52" si="19">SQRT((D43-Z43)^2+(F43-AB43)^2)</f>
        <v>70.67125537</v>
      </c>
      <c r="AE43" s="2">
        <f t="shared" ref="AE43:AE52" si="20">SQRT((((D43-Z43)^2 * (E43^2+AA43^2))+((F43-AB43)^2 * (G43^2+AC43^2)))/((D43-Z43)^2+(F43-AB43)^2))</f>
        <v>1.000009737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>
      <c r="A44" s="9">
        <v>0.39791666666666664</v>
      </c>
      <c r="B44" s="15">
        <v>0.3270833333333333</v>
      </c>
      <c r="C44" s="18" t="s">
        <v>20</v>
      </c>
      <c r="D44" s="13">
        <v>2310.011892</v>
      </c>
      <c r="E44" s="13">
        <v>6.38E-4</v>
      </c>
      <c r="F44" s="13">
        <v>2892.914546</v>
      </c>
      <c r="G44" s="13">
        <v>6.68E-4</v>
      </c>
      <c r="H44" s="13" t="s">
        <v>18</v>
      </c>
      <c r="I44" s="13" t="s">
        <v>18</v>
      </c>
      <c r="J44" s="13" t="s">
        <v>18</v>
      </c>
      <c r="K44" s="13" t="s">
        <v>18</v>
      </c>
      <c r="L44" s="13" t="s">
        <v>18</v>
      </c>
      <c r="M44" s="13" t="s">
        <v>18</v>
      </c>
      <c r="N44" s="13">
        <v>2336.0</v>
      </c>
      <c r="O44" s="13">
        <v>1.0</v>
      </c>
      <c r="P44" s="13">
        <v>3028.0</v>
      </c>
      <c r="Q44" s="13">
        <v>1.0</v>
      </c>
      <c r="R44" s="13">
        <f t="shared" si="15"/>
        <v>137.5625735</v>
      </c>
      <c r="S44" s="13">
        <f t="shared" si="16"/>
        <v>1.000000222</v>
      </c>
      <c r="T44" s="13">
        <v>2293.0</v>
      </c>
      <c r="U44" s="13">
        <v>1.0</v>
      </c>
      <c r="V44" s="13">
        <v>2788.0</v>
      </c>
      <c r="W44" s="13">
        <v>1.0</v>
      </c>
      <c r="X44" s="13">
        <f t="shared" si="17"/>
        <v>106.2848363</v>
      </c>
      <c r="Y44" s="13">
        <f t="shared" si="18"/>
        <v>1.000000223</v>
      </c>
      <c r="Z44" s="13">
        <v>2322.0</v>
      </c>
      <c r="AA44" s="13">
        <v>1.0</v>
      </c>
      <c r="AB44" s="13">
        <v>2962.0</v>
      </c>
      <c r="AC44" s="13">
        <v>1.0</v>
      </c>
      <c r="AD44" s="2">
        <f t="shared" si="19"/>
        <v>70.11786283</v>
      </c>
      <c r="AE44" s="2">
        <f t="shared" si="20"/>
        <v>1.000000223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>
      <c r="A45" s="9">
        <v>0.40449074074074076</v>
      </c>
      <c r="B45" s="15">
        <v>0.33365740740740746</v>
      </c>
      <c r="C45" s="18" t="s">
        <v>21</v>
      </c>
      <c r="D45" s="13">
        <v>2297.066336</v>
      </c>
      <c r="E45" s="13">
        <v>5.66E-4</v>
      </c>
      <c r="F45" s="13">
        <v>2801.415858</v>
      </c>
      <c r="G45" s="13">
        <v>6.12E-4</v>
      </c>
      <c r="H45" s="13" t="s">
        <v>18</v>
      </c>
      <c r="I45" s="13" t="s">
        <v>18</v>
      </c>
      <c r="J45" s="13" t="s">
        <v>18</v>
      </c>
      <c r="K45" s="13" t="s">
        <v>18</v>
      </c>
      <c r="L45" s="13" t="s">
        <v>18</v>
      </c>
      <c r="M45" s="13" t="s">
        <v>18</v>
      </c>
      <c r="N45" s="13">
        <v>2323.0</v>
      </c>
      <c r="O45" s="13">
        <v>1.0</v>
      </c>
      <c r="P45" s="13">
        <v>2936.0</v>
      </c>
      <c r="Q45" s="13">
        <v>1.0</v>
      </c>
      <c r="R45" s="13">
        <f t="shared" si="15"/>
        <v>137.0600095</v>
      </c>
      <c r="S45" s="13">
        <f t="shared" si="16"/>
        <v>1.000000186</v>
      </c>
      <c r="T45" s="13">
        <v>2281.0</v>
      </c>
      <c r="U45" s="13">
        <v>1.0</v>
      </c>
      <c r="V45" s="13">
        <v>2697.0</v>
      </c>
      <c r="W45" s="13">
        <v>1.0</v>
      </c>
      <c r="X45" s="13">
        <f t="shared" si="17"/>
        <v>105.6446807</v>
      </c>
      <c r="Y45" s="13">
        <f t="shared" si="18"/>
        <v>1.000000187</v>
      </c>
      <c r="Z45" s="13">
        <v>2310.0</v>
      </c>
      <c r="AA45" s="13">
        <v>1.0</v>
      </c>
      <c r="AB45" s="13">
        <v>2871.0</v>
      </c>
      <c r="AC45" s="13">
        <v>1.0</v>
      </c>
      <c r="AD45" s="2">
        <f t="shared" si="19"/>
        <v>70.77593152</v>
      </c>
      <c r="AE45" s="2">
        <f t="shared" si="20"/>
        <v>1.000000186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>
      <c r="A46" s="9">
        <v>0.4253587962962963</v>
      </c>
      <c r="B46" s="15">
        <v>0.35452546296296295</v>
      </c>
      <c r="C46" s="18" t="s">
        <v>22</v>
      </c>
      <c r="D46" s="13">
        <v>2262.437229</v>
      </c>
      <c r="E46" s="13">
        <v>0.001431</v>
      </c>
      <c r="F46" s="13">
        <v>2701.493976</v>
      </c>
      <c r="G46" s="13">
        <v>0.001535</v>
      </c>
      <c r="H46" s="13" t="s">
        <v>18</v>
      </c>
      <c r="I46" s="13" t="s">
        <v>18</v>
      </c>
      <c r="J46" s="13" t="s">
        <v>18</v>
      </c>
      <c r="K46" s="13" t="s">
        <v>18</v>
      </c>
      <c r="L46" s="13" t="s">
        <v>18</v>
      </c>
      <c r="M46" s="13" t="s">
        <v>18</v>
      </c>
      <c r="N46" s="13">
        <v>2288.0</v>
      </c>
      <c r="O46" s="13">
        <v>1.0</v>
      </c>
      <c r="P46" s="13">
        <v>2835.0</v>
      </c>
      <c r="Q46" s="13">
        <v>1.0</v>
      </c>
      <c r="R46" s="13">
        <f t="shared" si="15"/>
        <v>135.931283</v>
      </c>
      <c r="S46" s="13">
        <f t="shared" si="16"/>
        <v>1.000001173</v>
      </c>
      <c r="T46" s="13">
        <v>2246.0</v>
      </c>
      <c r="U46" s="13">
        <v>1.0</v>
      </c>
      <c r="V46" s="13">
        <v>2596.0</v>
      </c>
      <c r="W46" s="13">
        <v>1.0</v>
      </c>
      <c r="X46" s="13">
        <f t="shared" si="17"/>
        <v>106.7668557</v>
      </c>
      <c r="Y46" s="13">
        <f t="shared" si="18"/>
        <v>1.000001174</v>
      </c>
      <c r="Z46" s="13">
        <v>2275.0</v>
      </c>
      <c r="AA46" s="13">
        <v>1.0</v>
      </c>
      <c r="AB46" s="13">
        <v>2770.0</v>
      </c>
      <c r="AC46" s="13">
        <v>1.0</v>
      </c>
      <c r="AD46" s="2">
        <f t="shared" si="19"/>
        <v>69.64839222</v>
      </c>
      <c r="AE46" s="2">
        <f t="shared" si="20"/>
        <v>1.000001173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>
      <c r="A47" s="9">
        <v>0.43627314814814816</v>
      </c>
      <c r="B47" s="15">
        <v>0.3654398148148148</v>
      </c>
      <c r="C47" s="18" t="s">
        <v>23</v>
      </c>
      <c r="D47" s="13">
        <v>2247.220983</v>
      </c>
      <c r="E47" s="13">
        <v>5.79E-4</v>
      </c>
      <c r="F47" s="13">
        <v>2652.164438</v>
      </c>
      <c r="G47" s="13">
        <v>6.27E-4</v>
      </c>
      <c r="H47" s="13" t="s">
        <v>18</v>
      </c>
      <c r="I47" s="13" t="s">
        <v>18</v>
      </c>
      <c r="J47" s="13" t="s">
        <v>18</v>
      </c>
      <c r="K47" s="13" t="s">
        <v>18</v>
      </c>
      <c r="L47" s="13" t="s">
        <v>18</v>
      </c>
      <c r="M47" s="13" t="s">
        <v>18</v>
      </c>
      <c r="N47" s="13">
        <v>2273.0</v>
      </c>
      <c r="O47" s="13">
        <v>1.0</v>
      </c>
      <c r="P47" s="13">
        <v>2785.0</v>
      </c>
      <c r="Q47" s="13">
        <v>1.0</v>
      </c>
      <c r="R47" s="13">
        <f t="shared" si="15"/>
        <v>135.3138731</v>
      </c>
      <c r="S47" s="13">
        <f t="shared" si="16"/>
        <v>1.000000196</v>
      </c>
      <c r="T47" s="13">
        <v>2231.0</v>
      </c>
      <c r="U47" s="13">
        <v>1.0</v>
      </c>
      <c r="V47" s="13">
        <v>2546.0</v>
      </c>
      <c r="W47" s="13">
        <v>1.0</v>
      </c>
      <c r="X47" s="13">
        <f t="shared" si="17"/>
        <v>107.3964999</v>
      </c>
      <c r="Y47" s="13">
        <f t="shared" si="18"/>
        <v>1.000000196</v>
      </c>
      <c r="Z47" s="13">
        <v>2260.0</v>
      </c>
      <c r="AA47" s="13">
        <v>1.0</v>
      </c>
      <c r="AB47" s="13">
        <v>2720.0</v>
      </c>
      <c r="AC47" s="13">
        <v>1.0</v>
      </c>
      <c r="AD47" s="2">
        <f t="shared" si="19"/>
        <v>69.02873856</v>
      </c>
      <c r="AE47" s="2">
        <f t="shared" si="20"/>
        <v>1.000000196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>
      <c r="A48" s="9">
        <v>0.459375</v>
      </c>
      <c r="B48" s="15">
        <v>0.3885416666666667</v>
      </c>
      <c r="C48" s="18" t="s">
        <v>24</v>
      </c>
      <c r="D48" s="13">
        <v>2236.367084</v>
      </c>
      <c r="E48" s="13">
        <v>0.004802</v>
      </c>
      <c r="F48" s="13">
        <v>2474.442174</v>
      </c>
      <c r="G48" s="13">
        <v>0.004878</v>
      </c>
      <c r="H48" s="13">
        <v>2239.0</v>
      </c>
      <c r="I48" s="13">
        <v>1.0</v>
      </c>
      <c r="J48" s="13">
        <v>2496.0</v>
      </c>
      <c r="K48" s="13">
        <v>1.0</v>
      </c>
      <c r="L48" s="13">
        <f t="shared" ref="L48:L52" si="21">SQRT((D48-H48)^2+(F48-J48)^2)</f>
        <v>21.71801346</v>
      </c>
      <c r="M48" s="13">
        <f t="shared" ref="M48:M52" si="22">SQRT((((D48-H48)^2 * (E48^2+I48^2))+((F48-J48)^2 * (G48^2+K48^2)))/((D48-H48)^2+(F48-J48)^2))</f>
        <v>1.000011892</v>
      </c>
      <c r="N48" s="13">
        <v>2262.0</v>
      </c>
      <c r="O48" s="13">
        <v>1.0</v>
      </c>
      <c r="P48" s="13">
        <v>2605.0</v>
      </c>
      <c r="Q48" s="13">
        <v>1.0</v>
      </c>
      <c r="R48" s="13">
        <f t="shared" si="15"/>
        <v>133.0503375</v>
      </c>
      <c r="S48" s="13">
        <f t="shared" si="16"/>
        <v>1.000011884</v>
      </c>
      <c r="T48" s="13">
        <v>2220.0</v>
      </c>
      <c r="U48" s="13">
        <v>1.0</v>
      </c>
      <c r="V48" s="13">
        <v>2367.0</v>
      </c>
      <c r="W48" s="13">
        <v>1.0</v>
      </c>
      <c r="X48" s="13">
        <f t="shared" si="17"/>
        <v>108.6816553</v>
      </c>
      <c r="Y48" s="13">
        <f t="shared" si="18"/>
        <v>1.000011889</v>
      </c>
      <c r="Z48" s="13">
        <v>2249.0</v>
      </c>
      <c r="AA48" s="13">
        <v>1.0</v>
      </c>
      <c r="AB48" s="13">
        <v>2541.0</v>
      </c>
      <c r="AC48" s="13">
        <v>1.0</v>
      </c>
      <c r="AD48" s="2">
        <f t="shared" si="19"/>
        <v>67.74610519</v>
      </c>
      <c r="AE48" s="2">
        <f t="shared" si="20"/>
        <v>1.000011885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>
      <c r="A49" s="9">
        <v>0.46693287037037035</v>
      </c>
      <c r="B49" s="15">
        <v>0.39609953703703704</v>
      </c>
      <c r="C49" s="18" t="s">
        <v>25</v>
      </c>
      <c r="D49" s="13">
        <v>2237.844853</v>
      </c>
      <c r="E49" s="13">
        <v>0.004519</v>
      </c>
      <c r="F49" s="13">
        <v>2391.221859</v>
      </c>
      <c r="G49" s="13">
        <v>0.004869</v>
      </c>
      <c r="H49" s="13">
        <v>2241.0</v>
      </c>
      <c r="I49" s="13">
        <v>1.0</v>
      </c>
      <c r="J49" s="13">
        <v>2414.0</v>
      </c>
      <c r="K49" s="13">
        <v>1.0</v>
      </c>
      <c r="L49" s="13">
        <f t="shared" si="21"/>
        <v>22.99562263</v>
      </c>
      <c r="M49" s="13">
        <f t="shared" si="22"/>
        <v>1.000011823</v>
      </c>
      <c r="N49" s="13">
        <v>2263.0</v>
      </c>
      <c r="O49" s="13">
        <v>1.0</v>
      </c>
      <c r="P49" s="13">
        <v>2523.0</v>
      </c>
      <c r="Q49" s="13">
        <v>1.0</v>
      </c>
      <c r="R49" s="13">
        <f t="shared" si="15"/>
        <v>134.1575934</v>
      </c>
      <c r="S49" s="13">
        <f t="shared" si="16"/>
        <v>1.000011796</v>
      </c>
      <c r="T49" s="13">
        <v>2221.0</v>
      </c>
      <c r="U49" s="13">
        <v>1.0</v>
      </c>
      <c r="V49" s="13">
        <v>2282.5</v>
      </c>
      <c r="W49" s="13">
        <v>1.0</v>
      </c>
      <c r="X49" s="13">
        <f t="shared" si="17"/>
        <v>110.0190515</v>
      </c>
      <c r="Y49" s="13">
        <f t="shared" si="18"/>
        <v>1.000011815</v>
      </c>
      <c r="Z49" s="13">
        <v>2250.0</v>
      </c>
      <c r="AA49" s="13">
        <v>1.0</v>
      </c>
      <c r="AB49" s="13">
        <v>2458.0</v>
      </c>
      <c r="AC49" s="13">
        <v>1.0</v>
      </c>
      <c r="AD49" s="2">
        <f t="shared" si="19"/>
        <v>67.87538371</v>
      </c>
      <c r="AE49" s="2">
        <f t="shared" si="20"/>
        <v>1.000011801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>
      <c r="A50" s="9">
        <v>0.47368055555555555</v>
      </c>
      <c r="B50" s="15">
        <v>0.40284722222222225</v>
      </c>
      <c r="C50" s="18" t="s">
        <v>26</v>
      </c>
      <c r="D50" s="13">
        <v>2248.926155</v>
      </c>
      <c r="E50" s="13">
        <v>0.00134</v>
      </c>
      <c r="F50" s="13">
        <v>2302.591743</v>
      </c>
      <c r="G50" s="13">
        <v>0.001438</v>
      </c>
      <c r="H50" s="13">
        <v>2252.0</v>
      </c>
      <c r="I50" s="13">
        <v>1.0</v>
      </c>
      <c r="J50" s="13">
        <v>2326.0</v>
      </c>
      <c r="K50" s="13">
        <v>1.0</v>
      </c>
      <c r="L50" s="13">
        <f t="shared" si="21"/>
        <v>23.6092147</v>
      </c>
      <c r="M50" s="13">
        <f t="shared" si="22"/>
        <v>1.000001032</v>
      </c>
      <c r="N50" s="13">
        <v>2274.0</v>
      </c>
      <c r="O50" s="13">
        <v>1.0</v>
      </c>
      <c r="P50" s="13">
        <v>2433.0</v>
      </c>
      <c r="Q50" s="13">
        <v>1.0</v>
      </c>
      <c r="R50" s="13">
        <f t="shared" si="15"/>
        <v>132.7968795</v>
      </c>
      <c r="S50" s="13">
        <f t="shared" si="16"/>
        <v>1.000001029</v>
      </c>
      <c r="T50" s="13">
        <v>2232.0</v>
      </c>
      <c r="U50" s="13">
        <v>1.0</v>
      </c>
      <c r="V50" s="13">
        <v>2195.0</v>
      </c>
      <c r="W50" s="13">
        <v>1.0</v>
      </c>
      <c r="X50" s="13">
        <f t="shared" si="17"/>
        <v>108.915003</v>
      </c>
      <c r="Y50" s="13">
        <f t="shared" si="18"/>
        <v>1.000001031</v>
      </c>
      <c r="Z50" s="13">
        <v>2261.5</v>
      </c>
      <c r="AA50" s="13">
        <v>1.0</v>
      </c>
      <c r="AB50" s="13">
        <v>2368.5</v>
      </c>
      <c r="AC50" s="13">
        <v>1.0</v>
      </c>
      <c r="AD50" s="2">
        <f t="shared" si="19"/>
        <v>67.09694418</v>
      </c>
      <c r="AE50" s="2">
        <f t="shared" si="20"/>
        <v>1.000001029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>
      <c r="A51" s="9">
        <v>0.48193287037037036</v>
      </c>
      <c r="B51" s="15">
        <v>0.41109953703703705</v>
      </c>
      <c r="C51" s="18" t="s">
        <v>27</v>
      </c>
      <c r="D51" s="13">
        <v>2258.055148</v>
      </c>
      <c r="E51" s="13">
        <v>0.001675</v>
      </c>
      <c r="F51" s="13">
        <v>2211.595779</v>
      </c>
      <c r="G51" s="13">
        <v>0.003166</v>
      </c>
      <c r="H51" s="13">
        <v>2262.0</v>
      </c>
      <c r="I51" s="13">
        <v>1.0</v>
      </c>
      <c r="J51" s="13">
        <v>2237.0</v>
      </c>
      <c r="K51" s="13">
        <v>1.0</v>
      </c>
      <c r="L51" s="13">
        <f t="shared" si="21"/>
        <v>25.70868145</v>
      </c>
      <c r="M51" s="13">
        <f t="shared" si="22"/>
        <v>1.000004927</v>
      </c>
      <c r="N51" s="13">
        <v>2283.0</v>
      </c>
      <c r="O51" s="13">
        <v>1.0</v>
      </c>
      <c r="P51" s="13">
        <v>2342.0</v>
      </c>
      <c r="Q51" s="13">
        <v>1.0</v>
      </c>
      <c r="R51" s="13">
        <f t="shared" si="15"/>
        <v>132.7686201</v>
      </c>
      <c r="S51" s="13">
        <f t="shared" si="16"/>
        <v>1.000004884</v>
      </c>
      <c r="T51" s="13">
        <v>2241.0</v>
      </c>
      <c r="U51" s="13">
        <v>1.0</v>
      </c>
      <c r="V51" s="13">
        <v>2104.0</v>
      </c>
      <c r="W51" s="13">
        <v>1.0</v>
      </c>
      <c r="X51" s="13">
        <f t="shared" si="17"/>
        <v>108.9391102</v>
      </c>
      <c r="Y51" s="13">
        <f t="shared" si="18"/>
        <v>1.000004923</v>
      </c>
      <c r="Z51" s="13">
        <v>2271.0</v>
      </c>
      <c r="AA51" s="13">
        <v>1.0</v>
      </c>
      <c r="AB51" s="13">
        <v>2278.0</v>
      </c>
      <c r="AC51" s="13">
        <v>1.0</v>
      </c>
      <c r="AD51" s="2">
        <f t="shared" si="19"/>
        <v>67.65419248</v>
      </c>
      <c r="AE51" s="2">
        <f t="shared" si="20"/>
        <v>1.00000488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>
      <c r="A52" s="19">
        <v>0.48689814814814814</v>
      </c>
      <c r="B52" s="15">
        <v>0.41606481481481483</v>
      </c>
      <c r="C52" s="20">
        <v>9628.916065</v>
      </c>
      <c r="D52" s="12">
        <v>2258.980387</v>
      </c>
      <c r="E52" s="12">
        <v>0.004187</v>
      </c>
      <c r="F52" s="12">
        <v>2171.030633</v>
      </c>
      <c r="G52" s="12">
        <v>0.004535</v>
      </c>
      <c r="H52" s="20">
        <v>2263.0</v>
      </c>
      <c r="I52" s="20">
        <v>1.0</v>
      </c>
      <c r="J52" s="20">
        <v>2197.0</v>
      </c>
      <c r="K52" s="20">
        <v>1.0</v>
      </c>
      <c r="L52" s="13">
        <f t="shared" si="21"/>
        <v>26.27860938</v>
      </c>
      <c r="M52" s="13">
        <f t="shared" si="22"/>
        <v>1.000010248</v>
      </c>
      <c r="N52" s="20">
        <v>2284.0</v>
      </c>
      <c r="O52" s="20">
        <v>1.0</v>
      </c>
      <c r="P52" s="20">
        <v>2300.0</v>
      </c>
      <c r="Q52" s="20">
        <v>1.0</v>
      </c>
      <c r="R52" s="13">
        <f t="shared" si="15"/>
        <v>131.3738127</v>
      </c>
      <c r="S52" s="13">
        <f t="shared" si="16"/>
        <v>1.000010228</v>
      </c>
      <c r="T52" s="14">
        <v>2241.0</v>
      </c>
      <c r="U52" s="14">
        <v>1.0</v>
      </c>
      <c r="V52" s="14">
        <v>2063.0</v>
      </c>
      <c r="W52" s="14">
        <v>1.0</v>
      </c>
      <c r="X52" s="13">
        <f t="shared" si="17"/>
        <v>109.5167201</v>
      </c>
      <c r="Y52" s="13">
        <f t="shared" si="18"/>
        <v>1.000010242</v>
      </c>
      <c r="Z52" s="20">
        <v>2271.0</v>
      </c>
      <c r="AA52" s="20">
        <v>1.0</v>
      </c>
      <c r="AB52" s="20">
        <v>2236.0</v>
      </c>
      <c r="AC52" s="20">
        <v>1.0</v>
      </c>
      <c r="AD52" s="2">
        <f t="shared" si="19"/>
        <v>66.0718529</v>
      </c>
      <c r="AE52" s="2">
        <f t="shared" si="20"/>
        <v>1.000010233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</row>
    <row r="53">
      <c r="A53" s="22"/>
      <c r="B53" s="22"/>
      <c r="C53" s="2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>
      <c r="A54" s="22"/>
      <c r="B54" s="22"/>
      <c r="C54" s="2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>
      <c r="A55" s="22"/>
      <c r="B55" s="22"/>
      <c r="C55" s="2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>
      <c r="A56" s="22"/>
      <c r="B56" s="22"/>
      <c r="C56" s="2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>
      <c r="A57" s="11" t="s">
        <v>28</v>
      </c>
      <c r="B57" s="22"/>
      <c r="C57" s="2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>
      <c r="A58" s="22"/>
      <c r="B58" s="22"/>
      <c r="C58" s="2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>
      <c r="A59" s="22"/>
      <c r="B59" s="22"/>
      <c r="C59" s="2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>
      <c r="A60" s="22"/>
      <c r="B60" s="22"/>
      <c r="C60" s="2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>
      <c r="A61" s="22"/>
      <c r="B61" s="22"/>
      <c r="C61" s="2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>
      <c r="A62" s="22"/>
      <c r="B62" s="22"/>
      <c r="C62" s="2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>
      <c r="A63" s="22"/>
      <c r="B63" s="22"/>
      <c r="C63" s="2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>
      <c r="A64" s="22"/>
      <c r="B64" s="22"/>
      <c r="C64" s="2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>
      <c r="A65" s="22"/>
      <c r="B65" s="22"/>
      <c r="C65" s="2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>
      <c r="A66" s="22"/>
      <c r="B66" s="22"/>
      <c r="C66" s="2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>
      <c r="A67" s="22"/>
      <c r="B67" s="22"/>
      <c r="C67" s="2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>
      <c r="A68" s="22"/>
      <c r="B68" s="22"/>
      <c r="C68" s="2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>
      <c r="A69" s="22"/>
      <c r="B69" s="22"/>
      <c r="C69" s="2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>
      <c r="A70" s="22"/>
      <c r="B70" s="22"/>
      <c r="C70" s="2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>
      <c r="A71" s="22"/>
      <c r="B71" s="22"/>
      <c r="C71" s="2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>
      <c r="A72" s="22"/>
      <c r="B72" s="22"/>
      <c r="C72" s="2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>
      <c r="A73" s="22"/>
      <c r="B73" s="22"/>
      <c r="C73" s="2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>
      <c r="A74" s="22"/>
      <c r="B74" s="22"/>
      <c r="C74" s="2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</row>
  </sheetData>
  <mergeCells count="15">
    <mergeCell ref="Z23:AE23"/>
    <mergeCell ref="T23:Y23"/>
    <mergeCell ref="N23:S23"/>
    <mergeCell ref="H23:M23"/>
    <mergeCell ref="D23:G23"/>
    <mergeCell ref="T41:Y41"/>
    <mergeCell ref="N41:S41"/>
    <mergeCell ref="H3:M3"/>
    <mergeCell ref="N3:S3"/>
    <mergeCell ref="T3:Y3"/>
    <mergeCell ref="Z3:AE3"/>
    <mergeCell ref="Z41:AE41"/>
    <mergeCell ref="H41:M41"/>
    <mergeCell ref="D41:G41"/>
    <mergeCell ref="D3: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5.13"/>
    <col customWidth="1" min="19" max="19" width="15.13"/>
    <col customWidth="1" min="25" max="25" width="15.13"/>
    <col customWidth="1" min="31" max="31" width="15.13"/>
  </cols>
  <sheetData>
    <row r="1">
      <c r="A1" s="1">
        <v>46153.0</v>
      </c>
      <c r="B1" s="23"/>
      <c r="C1" s="2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>
      <c r="A3" s="3" t="s">
        <v>0</v>
      </c>
      <c r="B3" s="3" t="s">
        <v>29</v>
      </c>
      <c r="C3" s="3" t="s">
        <v>19</v>
      </c>
      <c r="D3" s="4" t="s">
        <v>3</v>
      </c>
      <c r="H3" s="5" t="s">
        <v>4</v>
      </c>
      <c r="N3" s="6" t="s">
        <v>5</v>
      </c>
      <c r="T3" s="7" t="s">
        <v>6</v>
      </c>
      <c r="Z3" s="8" t="s">
        <v>7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>
      <c r="A4" s="3" t="s">
        <v>8</v>
      </c>
      <c r="B4" s="3" t="s">
        <v>30</v>
      </c>
      <c r="C4" s="3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5" t="s">
        <v>14</v>
      </c>
      <c r="I4" s="5" t="s">
        <v>11</v>
      </c>
      <c r="J4" s="5" t="s">
        <v>12</v>
      </c>
      <c r="K4" s="5" t="s">
        <v>13</v>
      </c>
      <c r="L4" s="5" t="s">
        <v>31</v>
      </c>
      <c r="M4" s="5" t="s">
        <v>32</v>
      </c>
      <c r="N4" s="6" t="s">
        <v>14</v>
      </c>
      <c r="O4" s="6" t="s">
        <v>11</v>
      </c>
      <c r="P4" s="6" t="s">
        <v>12</v>
      </c>
      <c r="Q4" s="6" t="s">
        <v>13</v>
      </c>
      <c r="R4" s="6" t="s">
        <v>31</v>
      </c>
      <c r="S4" s="6" t="s">
        <v>32</v>
      </c>
      <c r="T4" s="7" t="s">
        <v>14</v>
      </c>
      <c r="U4" s="7" t="s">
        <v>11</v>
      </c>
      <c r="V4" s="7" t="s">
        <v>12</v>
      </c>
      <c r="W4" s="7" t="s">
        <v>13</v>
      </c>
      <c r="X4" s="7" t="s">
        <v>31</v>
      </c>
      <c r="Y4" s="7" t="s">
        <v>32</v>
      </c>
      <c r="Z4" s="8" t="s">
        <v>14</v>
      </c>
      <c r="AA4" s="8" t="s">
        <v>11</v>
      </c>
      <c r="AB4" s="8" t="s">
        <v>12</v>
      </c>
      <c r="AC4" s="8" t="s">
        <v>13</v>
      </c>
      <c r="AD4" s="8" t="s">
        <v>31</v>
      </c>
      <c r="AE4" s="8" t="s">
        <v>32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>
      <c r="A5" s="24">
        <v>0.41457175925925926</v>
      </c>
      <c r="B5" s="24">
        <v>0.3437384259259259</v>
      </c>
      <c r="C5" s="11">
        <v>9626.843738</v>
      </c>
      <c r="D5" s="12">
        <v>3260.181332</v>
      </c>
      <c r="E5" s="12">
        <v>0.005932</v>
      </c>
      <c r="F5" s="12">
        <v>1046.129522</v>
      </c>
      <c r="G5" s="12">
        <v>0.005512</v>
      </c>
      <c r="H5" s="13">
        <v>3281.0</v>
      </c>
      <c r="I5" s="13">
        <v>1.0</v>
      </c>
      <c r="J5" s="13">
        <v>1041.0</v>
      </c>
      <c r="K5" s="13">
        <v>1.0</v>
      </c>
      <c r="L5" s="13">
        <f t="shared" ref="L5:L10" si="1">-SQRT( (D5 -H5)^2 + (F5-J5)^2)</f>
        <v>-21.44129038</v>
      </c>
      <c r="M5" s="13">
        <f t="shared" ref="M5:M10" si="2">-SQRT(((D5-H5)^2)*(E5^2+I5^2)+((F5-J5)^2)*(G5^2+K5^2))/L5</f>
        <v>1.000017457</v>
      </c>
      <c r="N5" s="13">
        <v>3057.0</v>
      </c>
      <c r="O5" s="13">
        <v>1.0</v>
      </c>
      <c r="P5" s="13">
        <v>1095.0</v>
      </c>
      <c r="Q5" s="13">
        <v>1.0</v>
      </c>
      <c r="R5" s="13">
        <f t="shared" ref="R5:R12" si="3">SQRT((D5-N5)^2 + (F5-P5)^2)</f>
        <v>208.9760209</v>
      </c>
      <c r="S5" s="13">
        <f t="shared" ref="S5:S12" si="4">SQRT(((D5-N5)^2)*(E5^2+O5^2)+((F5-P5)^2)*(G5^2+Q5^2))/R5</f>
        <v>1.000017463</v>
      </c>
      <c r="T5" s="13">
        <v>3188.0</v>
      </c>
      <c r="U5" s="13">
        <v>1.0</v>
      </c>
      <c r="V5" s="13">
        <v>1066.0</v>
      </c>
      <c r="W5" s="13">
        <v>1.0</v>
      </c>
      <c r="X5" s="13">
        <f t="shared" ref="X5:X13" si="5">SQRT((D5-T5)^2 + (F5-V5)^2)</f>
        <v>74.86641827</v>
      </c>
      <c r="Y5" s="13">
        <f t="shared" ref="Y5:Y13" si="6">SQRT(((D5-T5)^2)*(E5^2+U5^2)+((F5-V5)^2)*(G5^2+W5^2))/X5</f>
        <v>1.000017425</v>
      </c>
      <c r="Z5" s="13">
        <v>3334.0</v>
      </c>
      <c r="AA5" s="13">
        <v>1.0</v>
      </c>
      <c r="AB5" s="13">
        <v>1029.0</v>
      </c>
      <c r="AC5" s="13">
        <v>1.0</v>
      </c>
      <c r="AD5" s="2">
        <f t="shared" ref="AD5:AD13" si="7">-SQRT((D5 - Z5)^2 + (F5-AB5)^2)</f>
        <v>-75.78005192</v>
      </c>
      <c r="AE5" s="2">
        <f t="shared" ref="AE5:AE13" si="8">-SQRT(((D5-Z5)^2)*(E5^2+AA5^2)+((F5-AB5)^2)*(G5^2+AC5^2))/AD5</f>
        <v>1.000017471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>
      <c r="A6" s="24">
        <v>0.4246875</v>
      </c>
      <c r="B6" s="24">
        <v>0.3538541666666667</v>
      </c>
      <c r="C6" s="11">
        <v>9626.853854</v>
      </c>
      <c r="D6" s="12">
        <v>3302.513813</v>
      </c>
      <c r="E6" s="12">
        <v>0.010193</v>
      </c>
      <c r="F6" s="12">
        <v>1026.202327</v>
      </c>
      <c r="G6" s="12">
        <v>0.009762</v>
      </c>
      <c r="H6" s="13">
        <v>3322.0</v>
      </c>
      <c r="I6" s="13">
        <v>1.0</v>
      </c>
      <c r="J6" s="13">
        <v>1021.0</v>
      </c>
      <c r="K6" s="13">
        <v>1.0</v>
      </c>
      <c r="L6" s="13">
        <f t="shared" si="1"/>
        <v>-20.16868092</v>
      </c>
      <c r="M6" s="13">
        <f t="shared" si="2"/>
        <v>1.000051661</v>
      </c>
      <c r="N6" s="13">
        <v>3099.5</v>
      </c>
      <c r="O6" s="13">
        <v>1.0</v>
      </c>
      <c r="P6" s="13">
        <v>1075.0</v>
      </c>
      <c r="Q6" s="13">
        <v>1.0</v>
      </c>
      <c r="R6" s="13">
        <f t="shared" si="3"/>
        <v>208.7961234</v>
      </c>
      <c r="S6" s="13">
        <f t="shared" si="4"/>
        <v>1.000051712</v>
      </c>
      <c r="T6" s="13">
        <v>3232.5</v>
      </c>
      <c r="U6" s="13">
        <v>1.0</v>
      </c>
      <c r="V6" s="13">
        <v>1046.0</v>
      </c>
      <c r="W6" s="13">
        <v>1.0</v>
      </c>
      <c r="X6" s="13">
        <f t="shared" si="5"/>
        <v>72.75906725</v>
      </c>
      <c r="Y6" s="13">
        <f t="shared" si="6"/>
        <v>1.000051629</v>
      </c>
      <c r="Z6" s="13">
        <v>3376.0</v>
      </c>
      <c r="AA6" s="13">
        <v>1.0</v>
      </c>
      <c r="AB6" s="13">
        <v>1009.0</v>
      </c>
      <c r="AC6" s="13">
        <v>1.0</v>
      </c>
      <c r="AD6" s="2">
        <f t="shared" si="7"/>
        <v>-75.47277479</v>
      </c>
      <c r="AE6" s="2">
        <f t="shared" si="8"/>
        <v>1.000051724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>
      <c r="A7" s="24">
        <v>0.43472222222222223</v>
      </c>
      <c r="B7" s="24">
        <v>0.3638888888888889</v>
      </c>
      <c r="C7" s="11">
        <v>9626.863889</v>
      </c>
      <c r="D7" s="12">
        <v>3351.157518</v>
      </c>
      <c r="E7" s="12">
        <v>0.00598</v>
      </c>
      <c r="F7" s="12">
        <v>1008.839504</v>
      </c>
      <c r="G7" s="12">
        <v>0.005678</v>
      </c>
      <c r="H7" s="13">
        <v>3369.0</v>
      </c>
      <c r="I7" s="13">
        <v>1.0</v>
      </c>
      <c r="J7" s="13">
        <v>1004.0</v>
      </c>
      <c r="K7" s="13">
        <v>1.0</v>
      </c>
      <c r="L7" s="13">
        <f t="shared" si="1"/>
        <v>-18.4871567</v>
      </c>
      <c r="M7" s="13">
        <f t="shared" si="2"/>
        <v>1.000017759</v>
      </c>
      <c r="N7" s="13">
        <v>3149.0</v>
      </c>
      <c r="O7" s="13">
        <v>1.0</v>
      </c>
      <c r="P7" s="13">
        <v>1057.0</v>
      </c>
      <c r="Q7" s="13">
        <v>1.0</v>
      </c>
      <c r="R7" s="13">
        <f t="shared" si="3"/>
        <v>207.8150511</v>
      </c>
      <c r="S7" s="13">
        <f t="shared" si="4"/>
        <v>1.000017785</v>
      </c>
      <c r="T7" s="13">
        <v>3281.5</v>
      </c>
      <c r="U7" s="13">
        <v>1.0</v>
      </c>
      <c r="V7" s="13">
        <v>1028.0</v>
      </c>
      <c r="W7" s="13">
        <v>1.0</v>
      </c>
      <c r="X7" s="13">
        <f t="shared" si="5"/>
        <v>72.24468438</v>
      </c>
      <c r="Y7" s="13">
        <f t="shared" si="6"/>
        <v>1.000017756</v>
      </c>
      <c r="Z7" s="13">
        <v>3425.0</v>
      </c>
      <c r="AA7" s="13">
        <v>1.0</v>
      </c>
      <c r="AB7" s="13">
        <v>991.5</v>
      </c>
      <c r="AC7" s="13">
        <v>1.0</v>
      </c>
      <c r="AD7" s="2">
        <f t="shared" si="7"/>
        <v>-75.85097591</v>
      </c>
      <c r="AE7" s="2">
        <f t="shared" si="8"/>
        <v>1.000017788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>
      <c r="A8" s="24">
        <v>0.4450115740740741</v>
      </c>
      <c r="B8" s="24">
        <v>0.37417824074074074</v>
      </c>
      <c r="C8" s="11">
        <v>9626.874178</v>
      </c>
      <c r="D8" s="12">
        <v>3413.21159</v>
      </c>
      <c r="E8" s="12">
        <v>6.51E-4</v>
      </c>
      <c r="F8" s="12">
        <v>992.679635</v>
      </c>
      <c r="G8" s="12">
        <v>6.14E-4</v>
      </c>
      <c r="H8" s="13">
        <v>3430.0</v>
      </c>
      <c r="I8" s="13">
        <v>1.0</v>
      </c>
      <c r="J8" s="13">
        <v>988.5</v>
      </c>
      <c r="K8" s="13">
        <v>1.0</v>
      </c>
      <c r="L8" s="13">
        <f t="shared" si="1"/>
        <v>-17.30086874</v>
      </c>
      <c r="M8" s="13">
        <f t="shared" si="2"/>
        <v>1.000000211</v>
      </c>
      <c r="N8" s="13">
        <v>3210.0</v>
      </c>
      <c r="O8" s="13">
        <v>1.0</v>
      </c>
      <c r="P8" s="13">
        <v>1041.0</v>
      </c>
      <c r="Q8" s="13">
        <v>1.0</v>
      </c>
      <c r="R8" s="13">
        <f t="shared" si="3"/>
        <v>208.8774952</v>
      </c>
      <c r="S8" s="13">
        <f t="shared" si="4"/>
        <v>1.000000211</v>
      </c>
      <c r="T8" s="13">
        <v>3345.0</v>
      </c>
      <c r="U8" s="13">
        <v>1.0</v>
      </c>
      <c r="V8" s="13">
        <v>1012.0</v>
      </c>
      <c r="W8" s="13">
        <v>1.0</v>
      </c>
      <c r="X8" s="13">
        <f t="shared" si="5"/>
        <v>70.89497524</v>
      </c>
      <c r="Y8" s="13">
        <f t="shared" si="6"/>
        <v>1.00000021</v>
      </c>
      <c r="Z8" s="13">
        <v>3487.5</v>
      </c>
      <c r="AA8" s="13">
        <v>1.0</v>
      </c>
      <c r="AB8" s="13">
        <v>976.0</v>
      </c>
      <c r="AC8" s="13">
        <v>1.0</v>
      </c>
      <c r="AD8" s="2">
        <f t="shared" si="7"/>
        <v>-76.13788862</v>
      </c>
      <c r="AE8" s="2">
        <f t="shared" si="8"/>
        <v>1.000000211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>
      <c r="A9" s="24">
        <v>0.4560648148148148</v>
      </c>
      <c r="B9" s="24">
        <v>0.3852314814814815</v>
      </c>
      <c r="C9" s="11">
        <v>9626.885231</v>
      </c>
      <c r="D9" s="14">
        <v>3507.318383</v>
      </c>
      <c r="E9" s="14">
        <v>0.243787</v>
      </c>
      <c r="F9" s="14">
        <v>982.938785</v>
      </c>
      <c r="G9" s="14">
        <v>0.22991</v>
      </c>
      <c r="H9" s="13">
        <v>3522.0</v>
      </c>
      <c r="I9" s="13">
        <v>1.0</v>
      </c>
      <c r="J9" s="13">
        <v>979.0</v>
      </c>
      <c r="K9" s="13">
        <v>1.0</v>
      </c>
      <c r="L9" s="13">
        <f t="shared" si="1"/>
        <v>-15.20078633</v>
      </c>
      <c r="M9" s="13">
        <f t="shared" si="2"/>
        <v>1.02907276</v>
      </c>
      <c r="N9" s="13">
        <v>3305.0</v>
      </c>
      <c r="O9" s="13">
        <v>1.0</v>
      </c>
      <c r="P9" s="13">
        <v>1031.0</v>
      </c>
      <c r="Q9" s="13">
        <v>1.0</v>
      </c>
      <c r="R9" s="13">
        <f t="shared" si="3"/>
        <v>207.9485717</v>
      </c>
      <c r="S9" s="13">
        <f t="shared" si="4"/>
        <v>1.029116595</v>
      </c>
      <c r="T9" s="13">
        <v>3440.0</v>
      </c>
      <c r="U9" s="13">
        <v>1.0</v>
      </c>
      <c r="V9" s="13">
        <v>1002.0</v>
      </c>
      <c r="W9" s="13">
        <v>1.0</v>
      </c>
      <c r="X9" s="13">
        <f t="shared" si="5"/>
        <v>69.9649527</v>
      </c>
      <c r="Y9" s="13">
        <f t="shared" si="6"/>
        <v>1.029050142</v>
      </c>
      <c r="Z9" s="13">
        <v>3581.5</v>
      </c>
      <c r="AA9" s="13">
        <v>1.0</v>
      </c>
      <c r="AB9" s="13">
        <v>965.5</v>
      </c>
      <c r="AC9" s="13">
        <v>1.0</v>
      </c>
      <c r="AD9" s="2">
        <f t="shared" si="7"/>
        <v>-76.20382879</v>
      </c>
      <c r="AE9" s="2">
        <f t="shared" si="8"/>
        <v>1.02911994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>
      <c r="A10" s="24">
        <v>0.46597222222222223</v>
      </c>
      <c r="B10" s="24">
        <v>0.3951388888888889</v>
      </c>
      <c r="C10" s="11">
        <v>9626.895139</v>
      </c>
      <c r="D10" s="12">
        <v>3597.496443</v>
      </c>
      <c r="E10" s="12">
        <v>0.002327</v>
      </c>
      <c r="F10" s="12">
        <v>976.231322</v>
      </c>
      <c r="G10" s="12">
        <v>0.00222</v>
      </c>
      <c r="H10" s="13">
        <v>3613.0</v>
      </c>
      <c r="I10" s="13">
        <v>1.0</v>
      </c>
      <c r="J10" s="13">
        <v>972.0</v>
      </c>
      <c r="K10" s="13">
        <v>1.0</v>
      </c>
      <c r="L10" s="13">
        <f t="shared" si="1"/>
        <v>-16.07060564</v>
      </c>
      <c r="M10" s="13">
        <f t="shared" si="2"/>
        <v>1.000002691</v>
      </c>
      <c r="N10" s="13">
        <v>3395.0</v>
      </c>
      <c r="O10" s="13">
        <v>1.0</v>
      </c>
      <c r="P10" s="13">
        <v>1024.0</v>
      </c>
      <c r="Q10" s="13">
        <v>1.0</v>
      </c>
      <c r="R10" s="13">
        <f t="shared" si="3"/>
        <v>208.0544545</v>
      </c>
      <c r="S10" s="13">
        <f t="shared" si="4"/>
        <v>1.000002695</v>
      </c>
      <c r="T10" s="13">
        <v>3530.5</v>
      </c>
      <c r="U10" s="13">
        <v>1.0</v>
      </c>
      <c r="V10" s="13">
        <v>955.0</v>
      </c>
      <c r="W10" s="13">
        <v>1.0</v>
      </c>
      <c r="X10" s="13">
        <f t="shared" si="5"/>
        <v>70.28009966</v>
      </c>
      <c r="Y10" s="13">
        <f t="shared" si="6"/>
        <v>1.000002685</v>
      </c>
      <c r="Z10" s="13">
        <v>3672.0</v>
      </c>
      <c r="AA10" s="13">
        <v>1.0</v>
      </c>
      <c r="AB10" s="13">
        <v>959.0</v>
      </c>
      <c r="AC10" s="13">
        <v>1.0</v>
      </c>
      <c r="AD10" s="2">
        <f t="shared" si="7"/>
        <v>-76.47024561</v>
      </c>
      <c r="AE10" s="2">
        <f t="shared" si="8"/>
        <v>1.000002695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>
      <c r="A11" s="24">
        <v>0.47706018518518517</v>
      </c>
      <c r="B11" s="24">
        <v>0.40622685185185187</v>
      </c>
      <c r="C11" s="11">
        <v>9626.906227</v>
      </c>
      <c r="D11" s="12">
        <v>3735.157097</v>
      </c>
      <c r="E11" s="12">
        <v>0.007905</v>
      </c>
      <c r="F11" s="12">
        <v>978.152901</v>
      </c>
      <c r="G11" s="12">
        <v>0.007791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18</v>
      </c>
      <c r="N11" s="13">
        <v>3533.0</v>
      </c>
      <c r="O11" s="13">
        <v>1.0</v>
      </c>
      <c r="P11" s="13">
        <v>1026.0</v>
      </c>
      <c r="Q11" s="13">
        <v>1.0</v>
      </c>
      <c r="R11" s="13">
        <f t="shared" si="3"/>
        <v>207.7422363</v>
      </c>
      <c r="S11" s="13">
        <f t="shared" si="4"/>
        <v>1.000031197</v>
      </c>
      <c r="T11" s="13">
        <v>3670.0</v>
      </c>
      <c r="U11" s="13">
        <v>1.0</v>
      </c>
      <c r="V11" s="13">
        <v>997.0</v>
      </c>
      <c r="W11" s="13">
        <v>1.0</v>
      </c>
      <c r="X11" s="13">
        <f t="shared" si="5"/>
        <v>67.82816841</v>
      </c>
      <c r="Y11" s="13">
        <f t="shared" si="6"/>
        <v>1.000031175</v>
      </c>
      <c r="Z11" s="13">
        <v>3808.0</v>
      </c>
      <c r="AA11" s="13">
        <v>1.0</v>
      </c>
      <c r="AB11" s="13">
        <v>961.0</v>
      </c>
      <c r="AC11" s="13">
        <v>1.0</v>
      </c>
      <c r="AD11" s="2">
        <f t="shared" si="7"/>
        <v>-74.83522252</v>
      </c>
      <c r="AE11" s="2">
        <f t="shared" si="8"/>
        <v>1.000031197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>
      <c r="A12" s="24">
        <v>0.4865625</v>
      </c>
      <c r="B12" s="24">
        <v>0.41572916666666665</v>
      </c>
      <c r="C12" s="11">
        <v>9626.915729</v>
      </c>
      <c r="D12" s="12">
        <v>3852.400773</v>
      </c>
      <c r="E12" s="12">
        <v>0.141197</v>
      </c>
      <c r="F12" s="12">
        <v>984.473536</v>
      </c>
      <c r="G12" s="12">
        <v>0.133929</v>
      </c>
      <c r="H12" s="13" t="s">
        <v>18</v>
      </c>
      <c r="I12" s="13" t="s">
        <v>18</v>
      </c>
      <c r="J12" s="13" t="s">
        <v>18</v>
      </c>
      <c r="K12" s="13" t="s">
        <v>18</v>
      </c>
      <c r="L12" s="13" t="s">
        <v>18</v>
      </c>
      <c r="M12" s="13" t="s">
        <v>18</v>
      </c>
      <c r="N12" s="13">
        <v>3651.0</v>
      </c>
      <c r="O12" s="13">
        <v>1.0</v>
      </c>
      <c r="P12" s="13">
        <v>1033.0</v>
      </c>
      <c r="Q12" s="13">
        <v>1.0</v>
      </c>
      <c r="R12" s="13">
        <f t="shared" si="3"/>
        <v>207.1644011</v>
      </c>
      <c r="S12" s="13">
        <f t="shared" si="4"/>
        <v>1.009864781</v>
      </c>
      <c r="T12" s="13">
        <v>3788.0</v>
      </c>
      <c r="U12" s="13">
        <v>1.0</v>
      </c>
      <c r="V12" s="13">
        <v>1003.0</v>
      </c>
      <c r="W12" s="13">
        <v>1.0</v>
      </c>
      <c r="X12" s="13">
        <f t="shared" si="5"/>
        <v>67.01260651</v>
      </c>
      <c r="Y12" s="13">
        <f t="shared" si="6"/>
        <v>1.009843433</v>
      </c>
      <c r="Z12" s="13">
        <v>3926.0</v>
      </c>
      <c r="AA12" s="13">
        <v>1.0</v>
      </c>
      <c r="AB12" s="13">
        <v>967.0</v>
      </c>
      <c r="AC12" s="13">
        <v>1.0</v>
      </c>
      <c r="AD12" s="2">
        <f t="shared" si="7"/>
        <v>-75.64503074</v>
      </c>
      <c r="AE12" s="2">
        <f t="shared" si="8"/>
        <v>1.009866277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>
      <c r="A13" s="24">
        <v>0.5086689814814814</v>
      </c>
      <c r="B13" s="24">
        <v>0.4378356481481481</v>
      </c>
      <c r="C13" s="11">
        <v>9626.937836</v>
      </c>
      <c r="D13" s="12">
        <v>4034.119599</v>
      </c>
      <c r="E13" s="12">
        <v>0.145338</v>
      </c>
      <c r="F13" s="12">
        <v>978.581844</v>
      </c>
      <c r="G13" s="12">
        <v>0.145109</v>
      </c>
      <c r="H13" s="13" t="s">
        <v>18</v>
      </c>
      <c r="I13" s="13" t="s">
        <v>18</v>
      </c>
      <c r="J13" s="13" t="s">
        <v>18</v>
      </c>
      <c r="K13" s="13" t="s">
        <v>18</v>
      </c>
      <c r="L13" s="13" t="s">
        <v>18</v>
      </c>
      <c r="M13" s="13" t="s">
        <v>18</v>
      </c>
      <c r="N13" s="13" t="s">
        <v>18</v>
      </c>
      <c r="O13" s="13" t="s">
        <v>18</v>
      </c>
      <c r="P13" s="13" t="s">
        <v>18</v>
      </c>
      <c r="Q13" s="13" t="s">
        <v>18</v>
      </c>
      <c r="R13" s="13" t="s">
        <v>18</v>
      </c>
      <c r="S13" s="13" t="s">
        <v>18</v>
      </c>
      <c r="T13" s="13">
        <v>3970.0</v>
      </c>
      <c r="U13" s="13">
        <v>1.0</v>
      </c>
      <c r="V13" s="13">
        <v>998.0</v>
      </c>
      <c r="W13" s="13">
        <v>1.0</v>
      </c>
      <c r="X13" s="13">
        <f t="shared" si="5"/>
        <v>66.99543088</v>
      </c>
      <c r="Y13" s="13">
        <f t="shared" si="6"/>
        <v>1.01050361</v>
      </c>
      <c r="Z13" s="13">
        <v>4108.0</v>
      </c>
      <c r="AA13" s="13">
        <v>1.0</v>
      </c>
      <c r="AB13" s="13">
        <v>961.0</v>
      </c>
      <c r="AC13" s="13">
        <v>1.0</v>
      </c>
      <c r="AD13" s="2">
        <f t="shared" si="7"/>
        <v>-75.94362969</v>
      </c>
      <c r="AE13" s="2">
        <f t="shared" si="8"/>
        <v>1.010504611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13"/>
      <c r="M14" s="13"/>
      <c r="N14" s="2"/>
      <c r="O14" s="2"/>
      <c r="P14" s="2"/>
      <c r="Q14" s="2"/>
      <c r="R14" s="13"/>
      <c r="S14" s="13"/>
      <c r="T14" s="2"/>
      <c r="U14" s="2"/>
      <c r="V14" s="2"/>
      <c r="W14" s="2"/>
      <c r="X14" s="13"/>
      <c r="Y14" s="13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3"/>
      <c r="M15" s="2"/>
      <c r="N15" s="2"/>
      <c r="O15" s="2"/>
      <c r="P15" s="2"/>
      <c r="Q15" s="2"/>
      <c r="R15" s="13"/>
      <c r="S15" s="13"/>
      <c r="T15" s="2"/>
      <c r="U15" s="2"/>
      <c r="V15" s="2"/>
      <c r="W15" s="2"/>
      <c r="X15" s="13"/>
      <c r="Y15" s="13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3"/>
      <c r="M16" s="2"/>
      <c r="N16" s="2"/>
      <c r="O16" s="2"/>
      <c r="P16" s="2"/>
      <c r="Q16" s="2"/>
      <c r="R16" s="13"/>
      <c r="S16" s="13"/>
      <c r="T16" s="2"/>
      <c r="U16" s="2"/>
      <c r="V16" s="2"/>
      <c r="W16" s="2"/>
      <c r="X16" s="13"/>
      <c r="Y16" s="13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3"/>
      <c r="M17" s="2"/>
      <c r="N17" s="2"/>
      <c r="O17" s="2"/>
      <c r="P17" s="2"/>
      <c r="Q17" s="2"/>
      <c r="R17" s="13"/>
      <c r="S17" s="13"/>
      <c r="T17" s="2"/>
      <c r="U17" s="2"/>
      <c r="V17" s="2"/>
      <c r="W17" s="2"/>
      <c r="X17" s="13"/>
      <c r="Y17" s="13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3"/>
      <c r="M18" s="13"/>
      <c r="N18" s="2"/>
      <c r="O18" s="2"/>
      <c r="P18" s="2"/>
      <c r="Q18" s="2"/>
      <c r="R18" s="13"/>
      <c r="S18" s="13"/>
      <c r="T18" s="2"/>
      <c r="U18" s="2"/>
      <c r="V18" s="2"/>
      <c r="W18" s="2"/>
      <c r="X18" s="13"/>
      <c r="Y18" s="13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3"/>
      <c r="M19" s="13"/>
      <c r="N19" s="2"/>
      <c r="O19" s="2"/>
      <c r="P19" s="2"/>
      <c r="Q19" s="2"/>
      <c r="R19" s="13"/>
      <c r="S19" s="13"/>
      <c r="T19" s="2"/>
      <c r="U19" s="2"/>
      <c r="V19" s="2"/>
      <c r="W19" s="2"/>
      <c r="X19" s="13"/>
      <c r="Y19" s="13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3"/>
      <c r="M20" s="13"/>
      <c r="N20" s="2"/>
      <c r="O20" s="2"/>
      <c r="P20" s="2"/>
      <c r="Q20" s="2"/>
      <c r="R20" s="13"/>
      <c r="S20" s="13"/>
      <c r="T20" s="2"/>
      <c r="U20" s="2"/>
      <c r="V20" s="2"/>
      <c r="W20" s="2"/>
      <c r="X20" s="13"/>
      <c r="Y20" s="13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>
      <c r="A21" s="1">
        <v>46154.0</v>
      </c>
      <c r="B21" s="25"/>
      <c r="C21" s="25"/>
      <c r="D21" s="2"/>
      <c r="E21" s="2"/>
      <c r="F21" s="2"/>
      <c r="G21" s="2"/>
      <c r="H21" s="2"/>
      <c r="I21" s="2"/>
      <c r="J21" s="2"/>
      <c r="K21" s="2"/>
      <c r="L21" s="13"/>
      <c r="M21" s="13"/>
      <c r="N21" s="2"/>
      <c r="O21" s="2"/>
      <c r="P21" s="2"/>
      <c r="Q21" s="2"/>
      <c r="R21" s="13"/>
      <c r="S21" s="13"/>
      <c r="T21" s="2"/>
      <c r="U21" s="2"/>
      <c r="V21" s="2"/>
      <c r="W21" s="2"/>
      <c r="X21" s="13"/>
      <c r="Y21" s="13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3"/>
      <c r="M22" s="13"/>
      <c r="N22" s="2"/>
      <c r="O22" s="2"/>
      <c r="P22" s="2"/>
      <c r="Q22" s="2"/>
      <c r="R22" s="13"/>
      <c r="S22" s="13"/>
      <c r="T22" s="2"/>
      <c r="U22" s="2"/>
      <c r="V22" s="2"/>
      <c r="W22" s="2"/>
      <c r="X22" s="13"/>
      <c r="Y22" s="13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>
      <c r="A23" s="3" t="s">
        <v>0</v>
      </c>
      <c r="B23" s="3" t="s">
        <v>29</v>
      </c>
      <c r="C23" s="3" t="s">
        <v>19</v>
      </c>
      <c r="D23" s="4" t="s">
        <v>3</v>
      </c>
      <c r="H23" s="5" t="s">
        <v>4</v>
      </c>
      <c r="N23" s="6" t="s">
        <v>5</v>
      </c>
      <c r="T23" s="7" t="s">
        <v>6</v>
      </c>
      <c r="Z23" s="8" t="s">
        <v>7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>
      <c r="A24" s="3" t="s">
        <v>8</v>
      </c>
      <c r="B24" s="3" t="s">
        <v>30</v>
      </c>
      <c r="C24" s="3" t="s">
        <v>9</v>
      </c>
      <c r="D24" s="4" t="s">
        <v>10</v>
      </c>
      <c r="E24" s="4" t="s">
        <v>11</v>
      </c>
      <c r="F24" s="4" t="s">
        <v>12</v>
      </c>
      <c r="G24" s="4" t="s">
        <v>13</v>
      </c>
      <c r="H24" s="5" t="s">
        <v>14</v>
      </c>
      <c r="I24" s="5" t="s">
        <v>11</v>
      </c>
      <c r="J24" s="5" t="s">
        <v>12</v>
      </c>
      <c r="K24" s="5" t="s">
        <v>13</v>
      </c>
      <c r="L24" s="5" t="s">
        <v>31</v>
      </c>
      <c r="M24" s="5" t="s">
        <v>32</v>
      </c>
      <c r="N24" s="6" t="s">
        <v>14</v>
      </c>
      <c r="O24" s="6" t="s">
        <v>11</v>
      </c>
      <c r="P24" s="6" t="s">
        <v>12</v>
      </c>
      <c r="Q24" s="6" t="s">
        <v>13</v>
      </c>
      <c r="R24" s="6" t="s">
        <v>31</v>
      </c>
      <c r="S24" s="6" t="s">
        <v>32</v>
      </c>
      <c r="T24" s="7" t="s">
        <v>14</v>
      </c>
      <c r="U24" s="7" t="s">
        <v>11</v>
      </c>
      <c r="V24" s="7" t="s">
        <v>12</v>
      </c>
      <c r="W24" s="7" t="s">
        <v>13</v>
      </c>
      <c r="X24" s="7" t="s">
        <v>31</v>
      </c>
      <c r="Y24" s="7" t="s">
        <v>32</v>
      </c>
      <c r="Z24" s="8" t="s">
        <v>14</v>
      </c>
      <c r="AA24" s="8" t="s">
        <v>11</v>
      </c>
      <c r="AB24" s="8" t="s">
        <v>12</v>
      </c>
      <c r="AC24" s="8" t="s">
        <v>13</v>
      </c>
      <c r="AD24" s="8" t="s">
        <v>31</v>
      </c>
      <c r="AE24" s="8" t="s">
        <v>32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>
      <c r="A25" s="15">
        <v>0.5049421296296296</v>
      </c>
      <c r="B25" s="15">
        <v>0.4341087962962963</v>
      </c>
      <c r="C25" s="13">
        <v>9627.934109</v>
      </c>
      <c r="D25" s="13">
        <v>2160.825753</v>
      </c>
      <c r="E25" s="12">
        <v>0.009601</v>
      </c>
      <c r="F25" s="12">
        <v>2726.326246</v>
      </c>
      <c r="G25" s="12">
        <v>0.009715</v>
      </c>
      <c r="H25" s="13" t="s">
        <v>18</v>
      </c>
      <c r="I25" s="13" t="s">
        <v>18</v>
      </c>
      <c r="J25" s="13" t="s">
        <v>18</v>
      </c>
      <c r="K25" s="13" t="s">
        <v>18</v>
      </c>
      <c r="L25" s="13" t="s">
        <v>18</v>
      </c>
      <c r="M25" s="13" t="s">
        <v>18</v>
      </c>
      <c r="N25" s="13">
        <v>2238.0</v>
      </c>
      <c r="O25" s="13">
        <v>1.0</v>
      </c>
      <c r="P25" s="13">
        <v>2890.0</v>
      </c>
      <c r="Q25" s="13">
        <v>1.0</v>
      </c>
      <c r="R25" s="13">
        <f t="shared" ref="R25:R34" si="9">SQRT((D25-N25)^2 + (F25-P25)^2)</f>
        <v>180.9556911</v>
      </c>
      <c r="S25" s="13">
        <f t="shared" ref="S25:S34" si="10">SQRT(((D25-N25)^2)*(E25^2+O25^2)+((F25-P25)^2)*(G25^2+Q25^2))/R25</f>
        <v>1.000046989</v>
      </c>
      <c r="T25" s="13">
        <v>2149.0</v>
      </c>
      <c r="U25" s="13">
        <v>1.0</v>
      </c>
      <c r="V25" s="13">
        <v>2694.0</v>
      </c>
      <c r="W25" s="13">
        <v>1.0</v>
      </c>
      <c r="X25" s="13">
        <f t="shared" ref="X25:X32" si="11">-SQRT((D25-T25)^2 + (F25-V25)^2)</f>
        <v>-34.42142668</v>
      </c>
      <c r="Y25" s="13">
        <f t="shared" ref="Y25:Y32" si="12">-SQRT(((D25-T25)^2)*(E25^2+U25^2)+((F25-V25)^2)*(G25^2+W25^2))/X25</f>
        <v>1.00004706</v>
      </c>
      <c r="Z25" s="13">
        <v>2168.0</v>
      </c>
      <c r="AA25" s="13">
        <v>1.0</v>
      </c>
      <c r="AB25" s="13">
        <v>2745.0</v>
      </c>
      <c r="AC25" s="13">
        <v>1.0</v>
      </c>
      <c r="AD25" s="2">
        <f t="shared" ref="AD25:AD27" si="13">SQRT((D25 - Z25)^2 + (F25-AB25)^2)</f>
        <v>20.00447221</v>
      </c>
      <c r="AE25" s="2">
        <f t="shared" ref="AE25:AE27" si="14">SQRT(((D25-Z25)^2)*(E25^2+AA25^2)+((F25-AB25)^2)*(G25^2+AC25^2))/AD25</f>
        <v>1.000047048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>
      <c r="A26" s="15">
        <v>0.48181712962962964</v>
      </c>
      <c r="B26" s="15">
        <v>0.4109837962962963</v>
      </c>
      <c r="C26" s="13">
        <v>9627.910984</v>
      </c>
      <c r="D26" s="26">
        <v>2203.975716</v>
      </c>
      <c r="E26" s="26">
        <v>0.280417</v>
      </c>
      <c r="F26" s="14">
        <v>2918.520659</v>
      </c>
      <c r="G26" s="14">
        <v>0.285601</v>
      </c>
      <c r="H26" s="13" t="s">
        <v>18</v>
      </c>
      <c r="I26" s="13" t="s">
        <v>18</v>
      </c>
      <c r="J26" s="13" t="s">
        <v>18</v>
      </c>
      <c r="K26" s="13" t="s">
        <v>18</v>
      </c>
      <c r="L26" s="13" t="s">
        <v>18</v>
      </c>
      <c r="M26" s="13" t="s">
        <v>18</v>
      </c>
      <c r="N26" s="13">
        <v>2281.5</v>
      </c>
      <c r="O26" s="13">
        <v>1.0</v>
      </c>
      <c r="P26" s="13">
        <v>3083.0</v>
      </c>
      <c r="Q26" s="13">
        <v>1.0</v>
      </c>
      <c r="R26" s="13">
        <f t="shared" si="9"/>
        <v>181.8336279</v>
      </c>
      <c r="S26" s="13">
        <f t="shared" si="10"/>
        <v>1.039728123</v>
      </c>
      <c r="T26" s="13">
        <v>2193.0</v>
      </c>
      <c r="U26" s="13">
        <v>1.0</v>
      </c>
      <c r="V26" s="13">
        <v>2888.0</v>
      </c>
      <c r="W26" s="13">
        <v>1.0</v>
      </c>
      <c r="X26" s="13">
        <f t="shared" si="11"/>
        <v>-32.43419442</v>
      </c>
      <c r="Y26" s="13">
        <f t="shared" si="12"/>
        <v>1.039823023</v>
      </c>
      <c r="Z26" s="13">
        <v>2210.0</v>
      </c>
      <c r="AA26" s="13">
        <v>1.0</v>
      </c>
      <c r="AB26" s="13">
        <v>2934.0</v>
      </c>
      <c r="AC26" s="13">
        <v>1.0</v>
      </c>
      <c r="AD26" s="2">
        <f t="shared" si="13"/>
        <v>16.61029788</v>
      </c>
      <c r="AE26" s="2">
        <f t="shared" si="14"/>
        <v>1.039799001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>
      <c r="A27" s="15">
        <v>0.47880787037037037</v>
      </c>
      <c r="B27" s="15">
        <v>0.407974537037037</v>
      </c>
      <c r="C27" s="13">
        <v>9627.907975</v>
      </c>
      <c r="D27" s="12">
        <v>2207.259046</v>
      </c>
      <c r="E27" s="12">
        <v>0.001744</v>
      </c>
      <c r="F27" s="12">
        <v>2964.052748</v>
      </c>
      <c r="G27" s="12">
        <v>0.00177</v>
      </c>
      <c r="H27" s="13" t="s">
        <v>18</v>
      </c>
      <c r="I27" s="13" t="s">
        <v>18</v>
      </c>
      <c r="J27" s="13" t="s">
        <v>18</v>
      </c>
      <c r="K27" s="13" t="s">
        <v>18</v>
      </c>
      <c r="L27" s="13" t="s">
        <v>18</v>
      </c>
      <c r="M27" s="13" t="s">
        <v>18</v>
      </c>
      <c r="N27" s="13">
        <v>2285.5</v>
      </c>
      <c r="O27" s="13">
        <v>1.0</v>
      </c>
      <c r="P27" s="13">
        <v>3129.5</v>
      </c>
      <c r="Q27" s="13">
        <v>1.0</v>
      </c>
      <c r="R27" s="13">
        <f t="shared" si="9"/>
        <v>183.014863</v>
      </c>
      <c r="S27" s="13">
        <f t="shared" si="10"/>
        <v>1.000001558</v>
      </c>
      <c r="T27" s="13">
        <v>2195.5</v>
      </c>
      <c r="U27" s="13">
        <v>1.0</v>
      </c>
      <c r="V27" s="13">
        <v>2934.0</v>
      </c>
      <c r="W27" s="13">
        <v>1.0</v>
      </c>
      <c r="X27" s="13">
        <f t="shared" si="11"/>
        <v>-32.27139329</v>
      </c>
      <c r="Y27" s="13">
        <f t="shared" si="12"/>
        <v>1.00000156</v>
      </c>
      <c r="Z27" s="13">
        <v>2213.0</v>
      </c>
      <c r="AA27" s="13">
        <v>1.0</v>
      </c>
      <c r="AB27" s="13">
        <v>2979.0</v>
      </c>
      <c r="AC27" s="13">
        <v>1.0</v>
      </c>
      <c r="AD27" s="2">
        <f t="shared" si="13"/>
        <v>16.0118361</v>
      </c>
      <c r="AE27" s="2">
        <f t="shared" si="14"/>
        <v>1.000001561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>
      <c r="A28" s="15">
        <v>0.47422453703703704</v>
      </c>
      <c r="B28" s="15">
        <v>0.4033912037037037</v>
      </c>
      <c r="C28" s="13">
        <v>9627.903391</v>
      </c>
      <c r="D28" s="12">
        <v>2217.905105</v>
      </c>
      <c r="E28" s="12">
        <v>0.00341</v>
      </c>
      <c r="F28" s="12">
        <v>3002.264401</v>
      </c>
      <c r="G28" s="12">
        <v>0.003423</v>
      </c>
      <c r="H28" s="13" t="s">
        <v>18</v>
      </c>
      <c r="I28" s="13" t="s">
        <v>18</v>
      </c>
      <c r="J28" s="13" t="s">
        <v>18</v>
      </c>
      <c r="K28" s="13" t="s">
        <v>18</v>
      </c>
      <c r="L28" s="13" t="s">
        <v>18</v>
      </c>
      <c r="M28" s="13" t="s">
        <v>18</v>
      </c>
      <c r="N28" s="13">
        <v>2297.0</v>
      </c>
      <c r="O28" s="13">
        <v>1.0</v>
      </c>
      <c r="P28" s="13">
        <v>3168.0</v>
      </c>
      <c r="Q28" s="13">
        <v>1.0</v>
      </c>
      <c r="R28" s="13">
        <f t="shared" si="9"/>
        <v>183.6417469</v>
      </c>
      <c r="S28" s="13">
        <f t="shared" si="10"/>
        <v>1.00000585</v>
      </c>
      <c r="T28" s="13">
        <v>2208.0</v>
      </c>
      <c r="U28" s="13">
        <v>1.0</v>
      </c>
      <c r="V28" s="13">
        <v>2972.5</v>
      </c>
      <c r="W28" s="13">
        <v>1.0</v>
      </c>
      <c r="X28" s="13">
        <f t="shared" si="11"/>
        <v>-31.36926317</v>
      </c>
      <c r="Y28" s="13">
        <f t="shared" si="12"/>
        <v>1.000005854</v>
      </c>
      <c r="Z28" s="13" t="s">
        <v>18</v>
      </c>
      <c r="AA28" s="13" t="s">
        <v>18</v>
      </c>
      <c r="AB28" s="13" t="s">
        <v>18</v>
      </c>
      <c r="AC28" s="13" t="s">
        <v>18</v>
      </c>
      <c r="AD28" s="11" t="s">
        <v>18</v>
      </c>
      <c r="AE28" s="11" t="s">
        <v>18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>
      <c r="A29" s="15">
        <v>0.46131944444444445</v>
      </c>
      <c r="B29" s="15">
        <v>0.3904861111111111</v>
      </c>
      <c r="C29" s="13">
        <v>9627.890486</v>
      </c>
      <c r="D29" s="12">
        <v>2249.037955</v>
      </c>
      <c r="E29" s="12">
        <v>0.00509</v>
      </c>
      <c r="F29" s="12">
        <v>3159.324479</v>
      </c>
      <c r="G29" s="12">
        <v>0.005406</v>
      </c>
      <c r="H29" s="13" t="s">
        <v>18</v>
      </c>
      <c r="I29" s="13" t="s">
        <v>18</v>
      </c>
      <c r="J29" s="13" t="s">
        <v>18</v>
      </c>
      <c r="K29" s="13" t="s">
        <v>18</v>
      </c>
      <c r="L29" s="13" t="s">
        <v>18</v>
      </c>
      <c r="M29" s="13" t="s">
        <v>18</v>
      </c>
      <c r="N29" s="13">
        <v>2328.0</v>
      </c>
      <c r="O29" s="13">
        <v>1.0</v>
      </c>
      <c r="P29" s="13">
        <v>3325.5</v>
      </c>
      <c r="Q29" s="13">
        <v>1.0</v>
      </c>
      <c r="R29" s="13">
        <f t="shared" si="9"/>
        <v>183.9818152</v>
      </c>
      <c r="S29" s="13">
        <f t="shared" si="10"/>
        <v>1.000014307</v>
      </c>
      <c r="T29" s="13">
        <v>2239.5</v>
      </c>
      <c r="U29" s="13">
        <v>1.0</v>
      </c>
      <c r="V29" s="13">
        <v>3130.5</v>
      </c>
      <c r="W29" s="13">
        <v>1.0</v>
      </c>
      <c r="X29" s="13">
        <f t="shared" si="11"/>
        <v>-30.36154105</v>
      </c>
      <c r="Y29" s="13">
        <f t="shared" si="12"/>
        <v>1.000014449</v>
      </c>
      <c r="Z29" s="13" t="s">
        <v>18</v>
      </c>
      <c r="AA29" s="13" t="s">
        <v>18</v>
      </c>
      <c r="AB29" s="13" t="s">
        <v>18</v>
      </c>
      <c r="AC29" s="13" t="s">
        <v>18</v>
      </c>
      <c r="AD29" s="11" t="s">
        <v>18</v>
      </c>
      <c r="AE29" s="11" t="s">
        <v>18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>
      <c r="A30" s="15">
        <v>0.4541898148148148</v>
      </c>
      <c r="B30" s="15">
        <v>0.3833564814814815</v>
      </c>
      <c r="C30" s="13">
        <v>9627.883356</v>
      </c>
      <c r="D30" s="13">
        <v>2267.932113</v>
      </c>
      <c r="E30" s="13">
        <v>0.010447</v>
      </c>
      <c r="F30" s="13">
        <v>3202.777415</v>
      </c>
      <c r="G30" s="13">
        <v>0.010898</v>
      </c>
      <c r="H30" s="13" t="s">
        <v>18</v>
      </c>
      <c r="I30" s="13" t="s">
        <v>18</v>
      </c>
      <c r="J30" s="13" t="s">
        <v>18</v>
      </c>
      <c r="K30" s="13" t="s">
        <v>18</v>
      </c>
      <c r="L30" s="13" t="s">
        <v>18</v>
      </c>
      <c r="M30" s="13" t="s">
        <v>18</v>
      </c>
      <c r="N30" s="13">
        <v>2347.0</v>
      </c>
      <c r="O30" s="13">
        <v>1.0</v>
      </c>
      <c r="P30" s="13">
        <v>3369.0</v>
      </c>
      <c r="Q30" s="13">
        <v>1.0</v>
      </c>
      <c r="R30" s="13">
        <f t="shared" si="9"/>
        <v>184.0697654</v>
      </c>
      <c r="S30" s="13">
        <f t="shared" si="10"/>
        <v>1.000058493</v>
      </c>
      <c r="T30" s="13">
        <v>2259.0</v>
      </c>
      <c r="U30" s="13">
        <v>1.0</v>
      </c>
      <c r="V30" s="13">
        <v>3174.0</v>
      </c>
      <c r="W30" s="13">
        <v>1.0</v>
      </c>
      <c r="X30" s="13">
        <f t="shared" si="11"/>
        <v>-30.13174832</v>
      </c>
      <c r="Y30" s="13">
        <f t="shared" si="12"/>
        <v>1.000058959</v>
      </c>
      <c r="Z30" s="13" t="s">
        <v>18</v>
      </c>
      <c r="AA30" s="13" t="s">
        <v>18</v>
      </c>
      <c r="AB30" s="13" t="s">
        <v>18</v>
      </c>
      <c r="AC30" s="13" t="s">
        <v>18</v>
      </c>
      <c r="AD30" s="11" t="s">
        <v>18</v>
      </c>
      <c r="AE30" s="11" t="s">
        <v>18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>
      <c r="A31" s="15">
        <v>0.44623842592592594</v>
      </c>
      <c r="B31" s="15">
        <v>0.3754050925925926</v>
      </c>
      <c r="C31" s="13">
        <v>9627.875405</v>
      </c>
      <c r="D31" s="13">
        <v>2287.835157</v>
      </c>
      <c r="E31" s="13">
        <v>4.33E-4</v>
      </c>
      <c r="F31" s="13">
        <v>3247.466777</v>
      </c>
      <c r="G31" s="13">
        <v>4.61E-4</v>
      </c>
      <c r="H31" s="13" t="s">
        <v>18</v>
      </c>
      <c r="I31" s="13" t="s">
        <v>18</v>
      </c>
      <c r="J31" s="13" t="s">
        <v>18</v>
      </c>
      <c r="K31" s="13" t="s">
        <v>18</v>
      </c>
      <c r="L31" s="13" t="s">
        <v>18</v>
      </c>
      <c r="M31" s="13" t="s">
        <v>18</v>
      </c>
      <c r="N31" s="13">
        <v>2367.0</v>
      </c>
      <c r="O31" s="13">
        <v>1.0</v>
      </c>
      <c r="P31" s="13">
        <v>3413.0</v>
      </c>
      <c r="Q31" s="13">
        <v>1.0</v>
      </c>
      <c r="R31" s="13">
        <f t="shared" si="9"/>
        <v>183.489292</v>
      </c>
      <c r="S31" s="13">
        <f t="shared" si="10"/>
        <v>1.000000104</v>
      </c>
      <c r="T31" s="13">
        <v>2279.0</v>
      </c>
      <c r="U31" s="13">
        <v>1.0</v>
      </c>
      <c r="V31" s="13">
        <v>3219.0</v>
      </c>
      <c r="W31" s="13">
        <v>1.0</v>
      </c>
      <c r="X31" s="13">
        <f t="shared" si="11"/>
        <v>-29.80633141</v>
      </c>
      <c r="Y31" s="13">
        <f t="shared" si="12"/>
        <v>1.000000105</v>
      </c>
      <c r="Z31" s="13" t="s">
        <v>18</v>
      </c>
      <c r="AA31" s="13" t="s">
        <v>18</v>
      </c>
      <c r="AB31" s="13" t="s">
        <v>18</v>
      </c>
      <c r="AC31" s="13" t="s">
        <v>18</v>
      </c>
      <c r="AD31" s="11" t="s">
        <v>18</v>
      </c>
      <c r="AE31" s="11" t="s">
        <v>18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>
      <c r="A32" s="15">
        <v>0.43873842592592593</v>
      </c>
      <c r="B32" s="15">
        <v>0.3679050925925926</v>
      </c>
      <c r="C32" s="13">
        <v>9627.867905</v>
      </c>
      <c r="D32" s="13">
        <v>2307.095888</v>
      </c>
      <c r="E32" s="13">
        <v>7.27E-4</v>
      </c>
      <c r="F32" s="13">
        <v>3287.458801</v>
      </c>
      <c r="G32" s="13">
        <v>7.68E-4</v>
      </c>
      <c r="H32" s="13" t="s">
        <v>18</v>
      </c>
      <c r="I32" s="13" t="s">
        <v>18</v>
      </c>
      <c r="J32" s="13" t="s">
        <v>18</v>
      </c>
      <c r="K32" s="13" t="s">
        <v>18</v>
      </c>
      <c r="L32" s="13" t="s">
        <v>18</v>
      </c>
      <c r="M32" s="13" t="s">
        <v>18</v>
      </c>
      <c r="N32" s="13">
        <v>2386.0</v>
      </c>
      <c r="O32" s="13">
        <v>1.0</v>
      </c>
      <c r="P32" s="13">
        <v>3454.0</v>
      </c>
      <c r="Q32" s="13">
        <v>1.0</v>
      </c>
      <c r="R32" s="13">
        <f t="shared" si="9"/>
        <v>184.2873567</v>
      </c>
      <c r="S32" s="13">
        <f t="shared" si="10"/>
        <v>1.000000289</v>
      </c>
      <c r="T32" s="13">
        <v>2299.0</v>
      </c>
      <c r="U32" s="13">
        <v>1.0</v>
      </c>
      <c r="V32" s="13">
        <v>3260.0</v>
      </c>
      <c r="W32" s="13">
        <v>1.0</v>
      </c>
      <c r="X32" s="13">
        <f t="shared" si="11"/>
        <v>-28.62741963</v>
      </c>
      <c r="Y32" s="13">
        <f t="shared" si="12"/>
        <v>1.000000292</v>
      </c>
      <c r="Z32" s="13" t="s">
        <v>18</v>
      </c>
      <c r="AA32" s="13" t="s">
        <v>18</v>
      </c>
      <c r="AB32" s="13" t="s">
        <v>18</v>
      </c>
      <c r="AC32" s="13" t="s">
        <v>18</v>
      </c>
      <c r="AD32" s="11" t="s">
        <v>18</v>
      </c>
      <c r="AE32" s="11" t="s">
        <v>18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>
      <c r="A33" s="15">
        <v>0.4348263888888889</v>
      </c>
      <c r="B33" s="15">
        <v>0.36399305555555556</v>
      </c>
      <c r="C33" s="13">
        <v>9627.863993</v>
      </c>
      <c r="D33" s="13">
        <v>2317.787666</v>
      </c>
      <c r="E33" s="13">
        <v>9.95E-4</v>
      </c>
      <c r="F33" s="13">
        <v>3305.491275</v>
      </c>
      <c r="G33" s="13">
        <v>0.001044</v>
      </c>
      <c r="H33" s="13" t="s">
        <v>18</v>
      </c>
      <c r="I33" s="13" t="s">
        <v>18</v>
      </c>
      <c r="J33" s="13" t="s">
        <v>18</v>
      </c>
      <c r="K33" s="13" t="s">
        <v>18</v>
      </c>
      <c r="L33" s="13" t="s">
        <v>18</v>
      </c>
      <c r="M33" s="13" t="s">
        <v>18</v>
      </c>
      <c r="N33" s="13">
        <v>2396.0</v>
      </c>
      <c r="O33" s="13">
        <v>1.0</v>
      </c>
      <c r="P33" s="13">
        <v>3471.0</v>
      </c>
      <c r="Q33" s="13">
        <v>1.0</v>
      </c>
      <c r="R33" s="13">
        <f t="shared" si="9"/>
        <v>183.0582072</v>
      </c>
      <c r="S33" s="13">
        <f t="shared" si="10"/>
        <v>1.000000536</v>
      </c>
      <c r="T33" s="13" t="s">
        <v>18</v>
      </c>
      <c r="U33" s="13" t="s">
        <v>18</v>
      </c>
      <c r="V33" s="13" t="s">
        <v>18</v>
      </c>
      <c r="W33" s="13" t="s">
        <v>18</v>
      </c>
      <c r="X33" s="13" t="s">
        <v>18</v>
      </c>
      <c r="Y33" s="13" t="s">
        <v>18</v>
      </c>
      <c r="Z33" s="13" t="s">
        <v>18</v>
      </c>
      <c r="AA33" s="13" t="s">
        <v>18</v>
      </c>
      <c r="AB33" s="13" t="s">
        <v>18</v>
      </c>
      <c r="AC33" s="13" t="s">
        <v>18</v>
      </c>
      <c r="AD33" s="11" t="s">
        <v>18</v>
      </c>
      <c r="AE33" s="11" t="s">
        <v>18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>
      <c r="A34" s="15">
        <v>0.4301273148148148</v>
      </c>
      <c r="B34" s="15">
        <v>0.3592939814814815</v>
      </c>
      <c r="C34" s="13">
        <v>9627.859294</v>
      </c>
      <c r="D34" s="13">
        <v>2332.730526</v>
      </c>
      <c r="E34" s="13">
        <v>0.009181</v>
      </c>
      <c r="F34" s="13">
        <v>3356.172476</v>
      </c>
      <c r="G34" s="13">
        <v>0.009468</v>
      </c>
      <c r="H34" s="13" t="s">
        <v>18</v>
      </c>
      <c r="I34" s="13" t="s">
        <v>18</v>
      </c>
      <c r="J34" s="13" t="s">
        <v>18</v>
      </c>
      <c r="K34" s="13" t="s">
        <v>18</v>
      </c>
      <c r="L34" s="13" t="s">
        <v>18</v>
      </c>
      <c r="M34" s="13" t="s">
        <v>18</v>
      </c>
      <c r="N34" s="13">
        <v>2411.0</v>
      </c>
      <c r="O34" s="13">
        <v>1.0</v>
      </c>
      <c r="P34" s="13">
        <v>3523.0</v>
      </c>
      <c r="Q34" s="13">
        <v>1.0</v>
      </c>
      <c r="R34" s="13">
        <f t="shared" si="9"/>
        <v>184.2756992</v>
      </c>
      <c r="S34" s="13">
        <f t="shared" si="10"/>
        <v>1.000044338</v>
      </c>
      <c r="T34" s="13" t="s">
        <v>18</v>
      </c>
      <c r="U34" s="13" t="s">
        <v>18</v>
      </c>
      <c r="V34" s="13" t="s">
        <v>18</v>
      </c>
      <c r="W34" s="13" t="s">
        <v>18</v>
      </c>
      <c r="X34" s="13" t="s">
        <v>18</v>
      </c>
      <c r="Y34" s="13" t="s">
        <v>18</v>
      </c>
      <c r="Z34" s="13" t="s">
        <v>18</v>
      </c>
      <c r="AA34" s="13" t="s">
        <v>18</v>
      </c>
      <c r="AB34" s="13" t="s">
        <v>18</v>
      </c>
      <c r="AC34" s="13" t="s">
        <v>18</v>
      </c>
      <c r="AD34" s="11" t="s">
        <v>18</v>
      </c>
      <c r="AE34" s="11" t="s">
        <v>18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>
      <c r="L35" s="13"/>
      <c r="M35" s="13"/>
      <c r="R35" s="13"/>
      <c r="S35" s="13"/>
      <c r="X35" s="13"/>
      <c r="Y35" s="1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>
      <c r="L36" s="13"/>
      <c r="M36" s="13"/>
      <c r="R36" s="13"/>
      <c r="S36" s="13"/>
      <c r="X36" s="13"/>
      <c r="Y36" s="1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3"/>
      <c r="M37" s="13"/>
      <c r="N37" s="2"/>
      <c r="O37" s="2"/>
      <c r="P37" s="2"/>
      <c r="Q37" s="2"/>
      <c r="R37" s="13"/>
      <c r="S37" s="13"/>
      <c r="T37" s="2"/>
      <c r="U37" s="2"/>
      <c r="V37" s="2"/>
      <c r="W37" s="2"/>
      <c r="X37" s="13"/>
      <c r="Y37" s="13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3"/>
      <c r="M38" s="13"/>
      <c r="N38" s="2"/>
      <c r="O38" s="2"/>
      <c r="P38" s="2"/>
      <c r="Q38" s="2"/>
      <c r="R38" s="13"/>
      <c r="S38" s="13"/>
      <c r="T38" s="2"/>
      <c r="U38" s="2"/>
      <c r="V38" s="2"/>
      <c r="W38" s="2"/>
      <c r="X38" s="13"/>
      <c r="Y38" s="1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>
      <c r="A39" s="1">
        <v>46155.0</v>
      </c>
      <c r="B39" s="25"/>
      <c r="C39" s="25"/>
      <c r="D39" s="2"/>
      <c r="E39" s="2"/>
      <c r="F39" s="2"/>
      <c r="G39" s="2"/>
      <c r="H39" s="2"/>
      <c r="I39" s="2"/>
      <c r="J39" s="2"/>
      <c r="K39" s="2"/>
      <c r="L39" s="13"/>
      <c r="M39" s="13"/>
      <c r="N39" s="2"/>
      <c r="O39" s="2"/>
      <c r="P39" s="2"/>
      <c r="Q39" s="2"/>
      <c r="R39" s="13"/>
      <c r="S39" s="13"/>
      <c r="T39" s="2"/>
      <c r="U39" s="2"/>
      <c r="V39" s="2"/>
      <c r="W39" s="2"/>
      <c r="X39" s="13"/>
      <c r="Y39" s="13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3"/>
      <c r="M40" s="13"/>
      <c r="N40" s="2"/>
      <c r="O40" s="2"/>
      <c r="P40" s="2"/>
      <c r="Q40" s="2"/>
      <c r="R40" s="13"/>
      <c r="S40" s="13"/>
      <c r="T40" s="2"/>
      <c r="U40" s="2"/>
      <c r="V40" s="2"/>
      <c r="W40" s="2"/>
      <c r="X40" s="13"/>
      <c r="Y40" s="13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>
      <c r="A41" s="3" t="s">
        <v>0</v>
      </c>
      <c r="B41" s="3" t="s">
        <v>29</v>
      </c>
      <c r="C41" s="3" t="s">
        <v>19</v>
      </c>
      <c r="D41" s="4" t="s">
        <v>3</v>
      </c>
      <c r="H41" s="5" t="s">
        <v>4</v>
      </c>
      <c r="N41" s="6" t="s">
        <v>5</v>
      </c>
      <c r="T41" s="7" t="s">
        <v>6</v>
      </c>
      <c r="Z41" s="8" t="s">
        <v>7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>
      <c r="A42" s="3" t="s">
        <v>8</v>
      </c>
      <c r="B42" s="3" t="s">
        <v>30</v>
      </c>
      <c r="C42" s="3" t="s">
        <v>9</v>
      </c>
      <c r="D42" s="4" t="s">
        <v>10</v>
      </c>
      <c r="E42" s="4" t="s">
        <v>11</v>
      </c>
      <c r="F42" s="4" t="s">
        <v>12</v>
      </c>
      <c r="G42" s="4" t="s">
        <v>13</v>
      </c>
      <c r="H42" s="5" t="s">
        <v>14</v>
      </c>
      <c r="I42" s="5" t="s">
        <v>11</v>
      </c>
      <c r="J42" s="5" t="s">
        <v>12</v>
      </c>
      <c r="K42" s="5" t="s">
        <v>13</v>
      </c>
      <c r="L42" s="5" t="s">
        <v>31</v>
      </c>
      <c r="M42" s="5" t="s">
        <v>32</v>
      </c>
      <c r="N42" s="6" t="s">
        <v>14</v>
      </c>
      <c r="O42" s="6" t="s">
        <v>11</v>
      </c>
      <c r="P42" s="6" t="s">
        <v>12</v>
      </c>
      <c r="Q42" s="6" t="s">
        <v>13</v>
      </c>
      <c r="R42" s="6" t="s">
        <v>31</v>
      </c>
      <c r="S42" s="6" t="s">
        <v>32</v>
      </c>
      <c r="T42" s="7" t="s">
        <v>14</v>
      </c>
      <c r="U42" s="7" t="s">
        <v>11</v>
      </c>
      <c r="V42" s="7" t="s">
        <v>12</v>
      </c>
      <c r="W42" s="7" t="s">
        <v>13</v>
      </c>
      <c r="X42" s="7" t="s">
        <v>31</v>
      </c>
      <c r="Y42" s="7" t="s">
        <v>32</v>
      </c>
      <c r="Z42" s="8" t="s">
        <v>14</v>
      </c>
      <c r="AA42" s="8" t="s">
        <v>11</v>
      </c>
      <c r="AB42" s="8" t="s">
        <v>12</v>
      </c>
      <c r="AC42" s="8" t="s">
        <v>13</v>
      </c>
      <c r="AD42" s="8" t="s">
        <v>31</v>
      </c>
      <c r="AE42" s="8" t="s">
        <v>32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>
      <c r="A43" s="15">
        <v>0.3965972222222222</v>
      </c>
      <c r="B43" s="15">
        <v>0.3257638888888889</v>
      </c>
      <c r="C43" s="13">
        <v>9628.825764</v>
      </c>
      <c r="D43" s="16">
        <v>2311.303833</v>
      </c>
      <c r="E43" s="17">
        <v>0.004231</v>
      </c>
      <c r="F43" s="16">
        <v>2897.478538</v>
      </c>
      <c r="G43" s="17">
        <v>0.004419</v>
      </c>
      <c r="H43" s="13" t="s">
        <v>18</v>
      </c>
      <c r="I43" s="13" t="s">
        <v>18</v>
      </c>
      <c r="J43" s="13" t="s">
        <v>18</v>
      </c>
      <c r="K43" s="13" t="s">
        <v>18</v>
      </c>
      <c r="L43" s="13" t="s">
        <v>18</v>
      </c>
      <c r="M43" s="13" t="s">
        <v>18</v>
      </c>
      <c r="N43" s="13">
        <v>2337.0</v>
      </c>
      <c r="O43" s="13">
        <v>1.0</v>
      </c>
      <c r="P43" s="13">
        <v>3033.0</v>
      </c>
      <c r="Q43" s="13">
        <v>1.0</v>
      </c>
      <c r="R43" s="13">
        <f t="shared" ref="R43:R52" si="15">SQRT((D43-N43)^2 + (F43-P43)^2)</f>
        <v>137.9360709</v>
      </c>
      <c r="S43" s="13">
        <f t="shared" ref="S43:S52" si="16">SQRT(((D43-N43)^2)*(E43^2+O43^2)+((F43-P43)^2)*(G43^2+Q43^2))/R43</f>
        <v>1.000009736</v>
      </c>
      <c r="T43" s="13">
        <v>2295.0</v>
      </c>
      <c r="U43" s="13">
        <v>1.0</v>
      </c>
      <c r="V43" s="13">
        <v>2793.0</v>
      </c>
      <c r="W43" s="13">
        <v>1.0</v>
      </c>
      <c r="X43" s="13">
        <f t="shared" ref="X43:X52" si="17">-SQRT((D43-T43)^2 + (F43-V43)^2)</f>
        <v>-105.7429897</v>
      </c>
      <c r="Y43" s="13">
        <f t="shared" ref="Y43:Y52" si="18">-SQRT(((D43-T43)^2)*(E43^2+U43^2)+((F43-V43)^2)*(G43^2+W43^2))/X43</f>
        <v>1.000009744</v>
      </c>
      <c r="Z43" s="13">
        <v>2324.0</v>
      </c>
      <c r="AA43" s="13">
        <v>1.0</v>
      </c>
      <c r="AB43" s="13">
        <v>2967.0</v>
      </c>
      <c r="AC43" s="13">
        <v>1.0</v>
      </c>
      <c r="AD43" s="2">
        <f t="shared" ref="AD43:AD52" si="19">SQRT((D43 - Z43)^2 + (F43-AB43)^2)</f>
        <v>70.67125537</v>
      </c>
      <c r="AE43" s="2">
        <f t="shared" ref="AE43:AE52" si="20">SQRT(((D43-Z43)^2)*(E43^2+AA43^2)+((F43-AB43)^2)*(G43^2+AC43^2))/AD43</f>
        <v>1.000009737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>
      <c r="A44" s="18" t="s">
        <v>33</v>
      </c>
      <c r="B44" s="18" t="s">
        <v>34</v>
      </c>
      <c r="C44" s="18" t="s">
        <v>20</v>
      </c>
      <c r="D44" s="13">
        <v>2310.011892</v>
      </c>
      <c r="E44" s="13">
        <v>6.38E-4</v>
      </c>
      <c r="F44" s="13">
        <v>2892.914546</v>
      </c>
      <c r="G44" s="13">
        <v>6.68E-4</v>
      </c>
      <c r="H44" s="13" t="s">
        <v>18</v>
      </c>
      <c r="I44" s="13" t="s">
        <v>18</v>
      </c>
      <c r="J44" s="13" t="s">
        <v>18</v>
      </c>
      <c r="K44" s="13" t="s">
        <v>18</v>
      </c>
      <c r="L44" s="13" t="s">
        <v>18</v>
      </c>
      <c r="M44" s="13" t="s">
        <v>18</v>
      </c>
      <c r="N44" s="13">
        <v>2336.0</v>
      </c>
      <c r="O44" s="13">
        <v>1.0</v>
      </c>
      <c r="P44" s="13">
        <v>3028.0</v>
      </c>
      <c r="Q44" s="13">
        <v>1.0</v>
      </c>
      <c r="R44" s="13">
        <f t="shared" si="15"/>
        <v>137.5625735</v>
      </c>
      <c r="S44" s="13">
        <f t="shared" si="16"/>
        <v>1.000000222</v>
      </c>
      <c r="T44" s="13">
        <v>2293.0</v>
      </c>
      <c r="U44" s="13">
        <v>1.0</v>
      </c>
      <c r="V44" s="13">
        <v>2788.0</v>
      </c>
      <c r="W44" s="13">
        <v>1.0</v>
      </c>
      <c r="X44" s="13">
        <f t="shared" si="17"/>
        <v>-106.2848363</v>
      </c>
      <c r="Y44" s="13">
        <f t="shared" si="18"/>
        <v>1.000000223</v>
      </c>
      <c r="Z44" s="13">
        <v>2322.0</v>
      </c>
      <c r="AA44" s="13">
        <v>1.0</v>
      </c>
      <c r="AB44" s="13">
        <v>2962.0</v>
      </c>
      <c r="AC44" s="13">
        <v>1.0</v>
      </c>
      <c r="AD44" s="2">
        <f t="shared" si="19"/>
        <v>70.11786283</v>
      </c>
      <c r="AE44" s="2">
        <f t="shared" si="20"/>
        <v>1.000000223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>
      <c r="A45" s="18" t="s">
        <v>35</v>
      </c>
      <c r="B45" s="18" t="s">
        <v>36</v>
      </c>
      <c r="C45" s="18" t="s">
        <v>21</v>
      </c>
      <c r="D45" s="13">
        <v>2297.066336</v>
      </c>
      <c r="E45" s="13">
        <v>5.66E-4</v>
      </c>
      <c r="F45" s="13">
        <v>2801.415858</v>
      </c>
      <c r="G45" s="13">
        <v>6.12E-4</v>
      </c>
      <c r="H45" s="13" t="s">
        <v>18</v>
      </c>
      <c r="I45" s="13" t="s">
        <v>18</v>
      </c>
      <c r="J45" s="13" t="s">
        <v>18</v>
      </c>
      <c r="K45" s="13" t="s">
        <v>18</v>
      </c>
      <c r="L45" s="13" t="s">
        <v>18</v>
      </c>
      <c r="M45" s="13" t="s">
        <v>18</v>
      </c>
      <c r="N45" s="13">
        <v>2323.0</v>
      </c>
      <c r="O45" s="13">
        <v>1.0</v>
      </c>
      <c r="P45" s="13">
        <v>2936.0</v>
      </c>
      <c r="Q45" s="13">
        <v>1.0</v>
      </c>
      <c r="R45" s="13">
        <f t="shared" si="15"/>
        <v>137.0600095</v>
      </c>
      <c r="S45" s="13">
        <f t="shared" si="16"/>
        <v>1.000000186</v>
      </c>
      <c r="T45" s="13">
        <v>2281.0</v>
      </c>
      <c r="U45" s="13">
        <v>1.0</v>
      </c>
      <c r="V45" s="13">
        <v>2697.0</v>
      </c>
      <c r="W45" s="13">
        <v>1.0</v>
      </c>
      <c r="X45" s="13">
        <f t="shared" si="17"/>
        <v>-105.6446807</v>
      </c>
      <c r="Y45" s="13">
        <f t="shared" si="18"/>
        <v>1.000000187</v>
      </c>
      <c r="Z45" s="13">
        <v>2310.0</v>
      </c>
      <c r="AA45" s="13">
        <v>1.0</v>
      </c>
      <c r="AB45" s="13">
        <v>2871.0</v>
      </c>
      <c r="AC45" s="13">
        <v>1.0</v>
      </c>
      <c r="AD45" s="2">
        <f t="shared" si="19"/>
        <v>70.77593152</v>
      </c>
      <c r="AE45" s="2">
        <f t="shared" si="20"/>
        <v>1.000000186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>
      <c r="A46" s="18" t="s">
        <v>37</v>
      </c>
      <c r="B46" s="18" t="s">
        <v>38</v>
      </c>
      <c r="C46" s="18" t="s">
        <v>22</v>
      </c>
      <c r="D46" s="13">
        <v>2262.437229</v>
      </c>
      <c r="E46" s="13">
        <v>0.001431</v>
      </c>
      <c r="F46" s="13">
        <v>2701.493976</v>
      </c>
      <c r="G46" s="13">
        <v>0.001535</v>
      </c>
      <c r="H46" s="13" t="s">
        <v>18</v>
      </c>
      <c r="I46" s="13" t="s">
        <v>18</v>
      </c>
      <c r="J46" s="13" t="s">
        <v>18</v>
      </c>
      <c r="K46" s="13" t="s">
        <v>18</v>
      </c>
      <c r="L46" s="13" t="s">
        <v>18</v>
      </c>
      <c r="M46" s="13" t="s">
        <v>18</v>
      </c>
      <c r="N46" s="13">
        <v>2288.0</v>
      </c>
      <c r="O46" s="13">
        <v>1.0</v>
      </c>
      <c r="P46" s="13">
        <v>2835.0</v>
      </c>
      <c r="Q46" s="13">
        <v>1.0</v>
      </c>
      <c r="R46" s="13">
        <f t="shared" si="15"/>
        <v>135.931283</v>
      </c>
      <c r="S46" s="13">
        <f t="shared" si="16"/>
        <v>1.000001173</v>
      </c>
      <c r="T46" s="13">
        <v>2246.0</v>
      </c>
      <c r="U46" s="13">
        <v>1.0</v>
      </c>
      <c r="V46" s="13">
        <v>2596.0</v>
      </c>
      <c r="W46" s="13">
        <v>1.0</v>
      </c>
      <c r="X46" s="13">
        <f t="shared" si="17"/>
        <v>-106.7668557</v>
      </c>
      <c r="Y46" s="13">
        <f t="shared" si="18"/>
        <v>1.000001174</v>
      </c>
      <c r="Z46" s="13">
        <v>2275.0</v>
      </c>
      <c r="AA46" s="13">
        <v>1.0</v>
      </c>
      <c r="AB46" s="13">
        <v>2770.0</v>
      </c>
      <c r="AC46" s="13">
        <v>1.0</v>
      </c>
      <c r="AD46" s="2">
        <f t="shared" si="19"/>
        <v>69.64839222</v>
      </c>
      <c r="AE46" s="2">
        <f t="shared" si="20"/>
        <v>1.000001173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>
      <c r="A47" s="18" t="s">
        <v>39</v>
      </c>
      <c r="B47" s="18" t="s">
        <v>40</v>
      </c>
      <c r="C47" s="18" t="s">
        <v>23</v>
      </c>
      <c r="D47" s="13">
        <v>2247.220983</v>
      </c>
      <c r="E47" s="13">
        <v>5.79E-4</v>
      </c>
      <c r="F47" s="13">
        <v>2652.164438</v>
      </c>
      <c r="G47" s="13">
        <v>6.27E-4</v>
      </c>
      <c r="H47" s="13" t="s">
        <v>18</v>
      </c>
      <c r="I47" s="13" t="s">
        <v>18</v>
      </c>
      <c r="J47" s="13" t="s">
        <v>18</v>
      </c>
      <c r="K47" s="13" t="s">
        <v>18</v>
      </c>
      <c r="L47" s="13" t="s">
        <v>18</v>
      </c>
      <c r="M47" s="13" t="s">
        <v>18</v>
      </c>
      <c r="N47" s="13">
        <v>2273.0</v>
      </c>
      <c r="O47" s="13">
        <v>1.0</v>
      </c>
      <c r="P47" s="13">
        <v>2785.0</v>
      </c>
      <c r="Q47" s="13">
        <v>1.0</v>
      </c>
      <c r="R47" s="13">
        <f t="shared" si="15"/>
        <v>135.3138731</v>
      </c>
      <c r="S47" s="13">
        <f t="shared" si="16"/>
        <v>1.000000196</v>
      </c>
      <c r="T47" s="13">
        <v>2231.0</v>
      </c>
      <c r="U47" s="13">
        <v>1.0</v>
      </c>
      <c r="V47" s="13">
        <v>2546.0</v>
      </c>
      <c r="W47" s="13">
        <v>1.0</v>
      </c>
      <c r="X47" s="13">
        <f t="shared" si="17"/>
        <v>-107.3964999</v>
      </c>
      <c r="Y47" s="13">
        <f t="shared" si="18"/>
        <v>1.000000196</v>
      </c>
      <c r="Z47" s="13">
        <v>2260.0</v>
      </c>
      <c r="AA47" s="13">
        <v>1.0</v>
      </c>
      <c r="AB47" s="13">
        <v>2720.0</v>
      </c>
      <c r="AC47" s="13">
        <v>1.0</v>
      </c>
      <c r="AD47" s="2">
        <f t="shared" si="19"/>
        <v>69.02873856</v>
      </c>
      <c r="AE47" s="2">
        <f t="shared" si="20"/>
        <v>1.000000196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>
      <c r="A48" s="18" t="s">
        <v>41</v>
      </c>
      <c r="B48" s="18" t="s">
        <v>42</v>
      </c>
      <c r="C48" s="18" t="s">
        <v>24</v>
      </c>
      <c r="D48" s="13">
        <v>2236.367084</v>
      </c>
      <c r="E48" s="13">
        <v>0.004802</v>
      </c>
      <c r="F48" s="13">
        <v>2474.442174</v>
      </c>
      <c r="G48" s="13">
        <v>0.004878</v>
      </c>
      <c r="H48" s="13">
        <v>2239.0</v>
      </c>
      <c r="I48" s="13">
        <v>1.0</v>
      </c>
      <c r="J48" s="13">
        <v>2496.0</v>
      </c>
      <c r="K48" s="13">
        <v>1.0</v>
      </c>
      <c r="L48" s="13">
        <f t="shared" ref="L48:L52" si="21">SQRT( (D48 -H48)^2 + (F48-J48)^2)</f>
        <v>21.71801346</v>
      </c>
      <c r="M48" s="13">
        <f t="shared" ref="M48:M52" si="22">SQRT(((D48-H48)^2)*(E48^2+I48^2)+((F48-J48)^2)*(G48^2+K48^2))/L48</f>
        <v>1.000011892</v>
      </c>
      <c r="N48" s="13">
        <v>2262.0</v>
      </c>
      <c r="O48" s="13">
        <v>1.0</v>
      </c>
      <c r="P48" s="13">
        <v>2605.0</v>
      </c>
      <c r="Q48" s="13">
        <v>1.0</v>
      </c>
      <c r="R48" s="13">
        <f t="shared" si="15"/>
        <v>133.0503375</v>
      </c>
      <c r="S48" s="13">
        <f t="shared" si="16"/>
        <v>1.000011884</v>
      </c>
      <c r="T48" s="13">
        <v>2220.0</v>
      </c>
      <c r="U48" s="13">
        <v>1.0</v>
      </c>
      <c r="V48" s="13">
        <v>2367.0</v>
      </c>
      <c r="W48" s="13">
        <v>1.0</v>
      </c>
      <c r="X48" s="13">
        <f t="shared" si="17"/>
        <v>-108.6816553</v>
      </c>
      <c r="Y48" s="13">
        <f t="shared" si="18"/>
        <v>1.000011889</v>
      </c>
      <c r="Z48" s="13">
        <v>2249.0</v>
      </c>
      <c r="AA48" s="13">
        <v>1.0</v>
      </c>
      <c r="AB48" s="13">
        <v>2541.0</v>
      </c>
      <c r="AC48" s="13">
        <v>1.0</v>
      </c>
      <c r="AD48" s="2">
        <f t="shared" si="19"/>
        <v>67.74610519</v>
      </c>
      <c r="AE48" s="2">
        <f t="shared" si="20"/>
        <v>1.000011885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>
      <c r="A49" s="18" t="s">
        <v>43</v>
      </c>
      <c r="B49" s="18" t="s">
        <v>44</v>
      </c>
      <c r="C49" s="18" t="s">
        <v>25</v>
      </c>
      <c r="D49" s="13">
        <v>2237.844853</v>
      </c>
      <c r="E49" s="13">
        <v>0.004519</v>
      </c>
      <c r="F49" s="13">
        <v>2391.221859</v>
      </c>
      <c r="G49" s="13">
        <v>0.004869</v>
      </c>
      <c r="H49" s="13">
        <v>2241.0</v>
      </c>
      <c r="I49" s="13">
        <v>1.0</v>
      </c>
      <c r="J49" s="13">
        <v>2414.0</v>
      </c>
      <c r="K49" s="13">
        <v>1.0</v>
      </c>
      <c r="L49" s="13">
        <f t="shared" si="21"/>
        <v>22.99562263</v>
      </c>
      <c r="M49" s="13">
        <f t="shared" si="22"/>
        <v>1.000011823</v>
      </c>
      <c r="N49" s="13">
        <v>2263.0</v>
      </c>
      <c r="O49" s="13">
        <v>1.0</v>
      </c>
      <c r="P49" s="13">
        <v>2523.0</v>
      </c>
      <c r="Q49" s="13">
        <v>1.0</v>
      </c>
      <c r="R49" s="13">
        <f t="shared" si="15"/>
        <v>134.1575934</v>
      </c>
      <c r="S49" s="13">
        <f t="shared" si="16"/>
        <v>1.000011796</v>
      </c>
      <c r="T49" s="13">
        <v>2221.0</v>
      </c>
      <c r="U49" s="13">
        <v>1.0</v>
      </c>
      <c r="V49" s="13">
        <v>2282.5</v>
      </c>
      <c r="W49" s="13">
        <v>1.0</v>
      </c>
      <c r="X49" s="13">
        <f t="shared" si="17"/>
        <v>-110.0190515</v>
      </c>
      <c r="Y49" s="13">
        <f t="shared" si="18"/>
        <v>1.000011815</v>
      </c>
      <c r="Z49" s="13">
        <v>2250.0</v>
      </c>
      <c r="AA49" s="13">
        <v>1.0</v>
      </c>
      <c r="AB49" s="13">
        <v>2458.0</v>
      </c>
      <c r="AC49" s="13">
        <v>1.0</v>
      </c>
      <c r="AD49" s="2">
        <f t="shared" si="19"/>
        <v>67.87538371</v>
      </c>
      <c r="AE49" s="2">
        <f t="shared" si="20"/>
        <v>1.000011801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>
      <c r="A50" s="18" t="s">
        <v>45</v>
      </c>
      <c r="B50" s="18" t="s">
        <v>46</v>
      </c>
      <c r="C50" s="18" t="s">
        <v>26</v>
      </c>
      <c r="D50" s="13">
        <v>2248.926155</v>
      </c>
      <c r="E50" s="13">
        <v>0.00134</v>
      </c>
      <c r="F50" s="13">
        <v>2302.591743</v>
      </c>
      <c r="G50" s="13">
        <v>0.001438</v>
      </c>
      <c r="H50" s="13">
        <v>2252.0</v>
      </c>
      <c r="I50" s="13">
        <v>1.0</v>
      </c>
      <c r="J50" s="13">
        <v>2326.0</v>
      </c>
      <c r="K50" s="13">
        <v>1.0</v>
      </c>
      <c r="L50" s="13">
        <f t="shared" si="21"/>
        <v>23.6092147</v>
      </c>
      <c r="M50" s="13">
        <f t="shared" si="22"/>
        <v>1.000001032</v>
      </c>
      <c r="N50" s="13">
        <v>2274.0</v>
      </c>
      <c r="O50" s="13">
        <v>1.0</v>
      </c>
      <c r="P50" s="13">
        <v>2433.0</v>
      </c>
      <c r="Q50" s="13">
        <v>1.0</v>
      </c>
      <c r="R50" s="13">
        <f t="shared" si="15"/>
        <v>132.7968795</v>
      </c>
      <c r="S50" s="13">
        <f t="shared" si="16"/>
        <v>1.000001029</v>
      </c>
      <c r="T50" s="13">
        <v>2232.0</v>
      </c>
      <c r="U50" s="13">
        <v>1.0</v>
      </c>
      <c r="V50" s="13">
        <v>2195.0</v>
      </c>
      <c r="W50" s="13">
        <v>1.0</v>
      </c>
      <c r="X50" s="13">
        <f t="shared" si="17"/>
        <v>-108.915003</v>
      </c>
      <c r="Y50" s="13">
        <f t="shared" si="18"/>
        <v>1.000001031</v>
      </c>
      <c r="Z50" s="13">
        <v>2261.5</v>
      </c>
      <c r="AA50" s="13">
        <v>1.0</v>
      </c>
      <c r="AB50" s="13">
        <v>2368.5</v>
      </c>
      <c r="AC50" s="13">
        <v>1.0</v>
      </c>
      <c r="AD50" s="2">
        <f t="shared" si="19"/>
        <v>67.09694418</v>
      </c>
      <c r="AE50" s="2">
        <f t="shared" si="20"/>
        <v>1.000001029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>
      <c r="A51" s="18" t="s">
        <v>47</v>
      </c>
      <c r="B51" s="18" t="s">
        <v>48</v>
      </c>
      <c r="C51" s="18" t="s">
        <v>27</v>
      </c>
      <c r="D51" s="13">
        <v>2258.055148</v>
      </c>
      <c r="E51" s="13">
        <v>0.001675</v>
      </c>
      <c r="F51" s="13">
        <v>2211.595779</v>
      </c>
      <c r="G51" s="13">
        <v>0.003166</v>
      </c>
      <c r="H51" s="13">
        <v>2262.0</v>
      </c>
      <c r="I51" s="13">
        <v>1.0</v>
      </c>
      <c r="J51" s="13">
        <v>2237.0</v>
      </c>
      <c r="K51" s="13">
        <v>1.0</v>
      </c>
      <c r="L51" s="13">
        <f t="shared" si="21"/>
        <v>25.70868145</v>
      </c>
      <c r="M51" s="13">
        <f t="shared" si="22"/>
        <v>1.000004927</v>
      </c>
      <c r="N51" s="13">
        <v>2283.0</v>
      </c>
      <c r="O51" s="13">
        <v>1.0</v>
      </c>
      <c r="P51" s="13">
        <v>2342.0</v>
      </c>
      <c r="Q51" s="13">
        <v>1.0</v>
      </c>
      <c r="R51" s="13">
        <f t="shared" si="15"/>
        <v>132.7686201</v>
      </c>
      <c r="S51" s="13">
        <f t="shared" si="16"/>
        <v>1.000004884</v>
      </c>
      <c r="T51" s="13">
        <v>2241.0</v>
      </c>
      <c r="U51" s="13">
        <v>1.0</v>
      </c>
      <c r="V51" s="13">
        <v>2104.0</v>
      </c>
      <c r="W51" s="13">
        <v>1.0</v>
      </c>
      <c r="X51" s="13">
        <f t="shared" si="17"/>
        <v>-108.9391102</v>
      </c>
      <c r="Y51" s="13">
        <f t="shared" si="18"/>
        <v>1.000004923</v>
      </c>
      <c r="Z51" s="13">
        <v>2271.0</v>
      </c>
      <c r="AA51" s="13">
        <v>1.0</v>
      </c>
      <c r="AB51" s="13">
        <v>2278.0</v>
      </c>
      <c r="AC51" s="13">
        <v>1.0</v>
      </c>
      <c r="AD51" s="2">
        <f t="shared" si="19"/>
        <v>67.65419248</v>
      </c>
      <c r="AE51" s="2">
        <f t="shared" si="20"/>
        <v>1.00000488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>
      <c r="A52" s="27">
        <v>0.48689814814814814</v>
      </c>
      <c r="B52" s="27">
        <v>0.41606481481481483</v>
      </c>
      <c r="C52" s="20">
        <v>9628.916065</v>
      </c>
      <c r="D52" s="12">
        <v>2258.980387</v>
      </c>
      <c r="E52" s="12">
        <v>0.004187</v>
      </c>
      <c r="F52" s="12">
        <v>2171.030633</v>
      </c>
      <c r="G52" s="12">
        <v>0.004535</v>
      </c>
      <c r="H52" s="20">
        <v>2263.0</v>
      </c>
      <c r="I52" s="20">
        <v>1.0</v>
      </c>
      <c r="J52" s="20">
        <v>2197.0</v>
      </c>
      <c r="K52" s="20">
        <v>1.0</v>
      </c>
      <c r="L52" s="13">
        <f t="shared" si="21"/>
        <v>26.27860938</v>
      </c>
      <c r="M52" s="13">
        <f t="shared" si="22"/>
        <v>1.000010248</v>
      </c>
      <c r="N52" s="20">
        <v>2284.0</v>
      </c>
      <c r="O52" s="20">
        <v>1.0</v>
      </c>
      <c r="P52" s="20">
        <v>2300.0</v>
      </c>
      <c r="Q52" s="20">
        <v>1.0</v>
      </c>
      <c r="R52" s="13">
        <f t="shared" si="15"/>
        <v>131.3738127</v>
      </c>
      <c r="S52" s="13">
        <f t="shared" si="16"/>
        <v>1.000010228</v>
      </c>
      <c r="T52" s="14">
        <v>2241.0</v>
      </c>
      <c r="U52" s="14">
        <v>1.0</v>
      </c>
      <c r="V52" s="14">
        <v>2063.0</v>
      </c>
      <c r="W52" s="14">
        <v>1.0</v>
      </c>
      <c r="X52" s="13">
        <f t="shared" si="17"/>
        <v>-109.5167201</v>
      </c>
      <c r="Y52" s="13">
        <f t="shared" si="18"/>
        <v>1.000010242</v>
      </c>
      <c r="Z52" s="20">
        <v>2271.0</v>
      </c>
      <c r="AA52" s="20">
        <v>1.0</v>
      </c>
      <c r="AB52" s="20">
        <v>2236.0</v>
      </c>
      <c r="AC52" s="20">
        <v>1.0</v>
      </c>
      <c r="AD52" s="2">
        <f t="shared" si="19"/>
        <v>66.0718529</v>
      </c>
      <c r="AE52" s="2">
        <f t="shared" si="20"/>
        <v>1.000010233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</row>
    <row r="53">
      <c r="A53" s="22"/>
      <c r="B53" s="22"/>
      <c r="C53" s="2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>
      <c r="A54" s="22"/>
      <c r="B54" s="22"/>
      <c r="C54" s="2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>
      <c r="A55" s="22"/>
      <c r="B55" s="22"/>
      <c r="C55" s="2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>
      <c r="A56" s="22"/>
      <c r="B56" s="22"/>
      <c r="C56" s="2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>
      <c r="A57" s="28" t="s">
        <v>28</v>
      </c>
      <c r="B57" s="22"/>
      <c r="C57" s="2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>
      <c r="A58" s="29"/>
      <c r="B58" s="22"/>
      <c r="C58" s="2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>
      <c r="A59" s="3" t="s">
        <v>19</v>
      </c>
      <c r="B59" s="5" t="s">
        <v>4</v>
      </c>
      <c r="D59" s="6" t="s">
        <v>5</v>
      </c>
      <c r="F59" s="7" t="s">
        <v>6</v>
      </c>
      <c r="H59" s="8" t="s">
        <v>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>
      <c r="A60" s="3" t="s">
        <v>9</v>
      </c>
      <c r="B60" s="5" t="s">
        <v>15</v>
      </c>
      <c r="C60" s="5" t="s">
        <v>49</v>
      </c>
      <c r="D60" s="6" t="s">
        <v>17</v>
      </c>
      <c r="E60" s="6" t="s">
        <v>49</v>
      </c>
      <c r="F60" s="7" t="s">
        <v>17</v>
      </c>
      <c r="G60" s="7" t="s">
        <v>49</v>
      </c>
      <c r="H60" s="8" t="s">
        <v>17</v>
      </c>
      <c r="I60" s="8" t="s">
        <v>49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>
      <c r="A61" s="11">
        <v>9626.843738</v>
      </c>
      <c r="B61" s="30">
        <v>-21.44</v>
      </c>
      <c r="C61" s="30">
        <v>1.0</v>
      </c>
      <c r="D61" s="30">
        <v>208.98</v>
      </c>
      <c r="E61" s="30">
        <v>1.0</v>
      </c>
      <c r="F61" s="30">
        <v>74.87</v>
      </c>
      <c r="G61" s="30">
        <v>1.0</v>
      </c>
      <c r="H61" s="30">
        <v>-75.78</v>
      </c>
      <c r="I61" s="30">
        <v>1.0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>
      <c r="A62" s="11">
        <v>9626.853854</v>
      </c>
      <c r="B62" s="30">
        <v>-20.17</v>
      </c>
      <c r="C62" s="30">
        <v>1.0</v>
      </c>
      <c r="D62" s="30">
        <v>208.8</v>
      </c>
      <c r="E62" s="30">
        <v>1.0</v>
      </c>
      <c r="F62" s="30">
        <v>72.76</v>
      </c>
      <c r="G62" s="30">
        <v>1.0</v>
      </c>
      <c r="H62" s="30">
        <v>-75.47</v>
      </c>
      <c r="I62" s="30">
        <v>1.0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>
      <c r="A63" s="11">
        <v>9626.863889</v>
      </c>
      <c r="B63" s="30">
        <v>-18.49</v>
      </c>
      <c r="C63" s="30">
        <v>1.0</v>
      </c>
      <c r="D63" s="30">
        <v>207.82</v>
      </c>
      <c r="E63" s="30">
        <v>1.0</v>
      </c>
      <c r="F63" s="30">
        <v>72.24</v>
      </c>
      <c r="G63" s="30">
        <v>1.0</v>
      </c>
      <c r="H63" s="30">
        <v>-75.85</v>
      </c>
      <c r="I63" s="30">
        <v>1.0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>
      <c r="A64" s="11">
        <v>9626.874178</v>
      </c>
      <c r="B64" s="30">
        <v>-17.3</v>
      </c>
      <c r="C64" s="30">
        <v>1.0</v>
      </c>
      <c r="D64" s="30">
        <v>208.88</v>
      </c>
      <c r="E64" s="30">
        <v>1.0</v>
      </c>
      <c r="F64" s="30">
        <v>70.9</v>
      </c>
      <c r="G64" s="30">
        <v>1.0</v>
      </c>
      <c r="H64" s="30">
        <v>-76.13</v>
      </c>
      <c r="I64" s="30">
        <v>1.0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>
      <c r="A65" s="11">
        <v>9626.885231</v>
      </c>
      <c r="B65" s="30">
        <v>-15.2</v>
      </c>
      <c r="C65" s="30">
        <v>1.02</v>
      </c>
      <c r="D65" s="30">
        <v>207.95</v>
      </c>
      <c r="E65" s="30">
        <v>1.02</v>
      </c>
      <c r="F65" s="30">
        <v>69.96</v>
      </c>
      <c r="G65" s="30">
        <v>1.02</v>
      </c>
      <c r="H65" s="30">
        <v>-76.2</v>
      </c>
      <c r="I65" s="30">
        <v>1.02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>
      <c r="A66" s="11">
        <v>9626.895139</v>
      </c>
      <c r="B66" s="30">
        <v>-16.07</v>
      </c>
      <c r="C66" s="30">
        <v>1.0</v>
      </c>
      <c r="D66" s="30">
        <v>208.05</v>
      </c>
      <c r="E66" s="30">
        <v>1.0</v>
      </c>
      <c r="F66" s="30">
        <v>70.28</v>
      </c>
      <c r="G66" s="30">
        <v>1.0</v>
      </c>
      <c r="H66" s="30">
        <v>-76.47</v>
      </c>
      <c r="I66" s="30">
        <v>1.0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>
      <c r="A67" s="11">
        <v>9626.906227</v>
      </c>
      <c r="B67" s="30" t="s">
        <v>18</v>
      </c>
      <c r="C67" s="30" t="s">
        <v>18</v>
      </c>
      <c r="D67" s="30">
        <v>207.74</v>
      </c>
      <c r="E67" s="30">
        <v>1.0</v>
      </c>
      <c r="F67" s="30">
        <v>67.83</v>
      </c>
      <c r="G67" s="30">
        <v>1.0</v>
      </c>
      <c r="H67" s="30">
        <v>-74.84</v>
      </c>
      <c r="I67" s="30">
        <v>1.0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>
      <c r="A68" s="11">
        <v>9626.915729</v>
      </c>
      <c r="B68" s="30" t="s">
        <v>18</v>
      </c>
      <c r="C68" s="30" t="s">
        <v>18</v>
      </c>
      <c r="D68" s="30">
        <v>207.16</v>
      </c>
      <c r="E68" s="30">
        <v>1.0</v>
      </c>
      <c r="F68" s="30">
        <v>67.01</v>
      </c>
      <c r="G68" s="30">
        <v>1.0</v>
      </c>
      <c r="H68" s="30">
        <v>-75.64</v>
      </c>
      <c r="I68" s="30">
        <v>1.01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>
      <c r="A69" s="11">
        <v>9626.937836</v>
      </c>
      <c r="B69" s="30" t="s">
        <v>18</v>
      </c>
      <c r="C69" s="30" t="s">
        <v>18</v>
      </c>
      <c r="D69" s="30" t="s">
        <v>18</v>
      </c>
      <c r="E69" s="30" t="s">
        <v>18</v>
      </c>
      <c r="F69" s="30">
        <v>66.99</v>
      </c>
      <c r="G69" s="30">
        <v>1.01</v>
      </c>
      <c r="H69" s="30">
        <v>-75.95</v>
      </c>
      <c r="I69" s="30">
        <v>1.01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>
      <c r="A70" s="13">
        <v>9627.934109</v>
      </c>
      <c r="B70" s="30" t="s">
        <v>18</v>
      </c>
      <c r="C70" s="30" t="s">
        <v>18</v>
      </c>
      <c r="D70" s="30">
        <v>180.96</v>
      </c>
      <c r="E70" s="30">
        <v>1.0</v>
      </c>
      <c r="F70" s="30">
        <v>-34.42</v>
      </c>
      <c r="G70" s="30">
        <v>1.0</v>
      </c>
      <c r="H70" s="30">
        <v>20.0</v>
      </c>
      <c r="I70" s="30">
        <v>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>
      <c r="A71" s="13">
        <v>9627.910984</v>
      </c>
      <c r="B71" s="30" t="s">
        <v>18</v>
      </c>
      <c r="C71" s="30" t="s">
        <v>18</v>
      </c>
      <c r="D71" s="30">
        <v>181.83</v>
      </c>
      <c r="E71" s="30">
        <v>1.03</v>
      </c>
      <c r="F71" s="30">
        <v>-32.43</v>
      </c>
      <c r="G71" s="30">
        <v>1.03</v>
      </c>
      <c r="H71" s="30">
        <v>16.61</v>
      </c>
      <c r="I71" s="30">
        <v>1.04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>
      <c r="A72" s="13">
        <v>9627.907975</v>
      </c>
      <c r="B72" s="30" t="s">
        <v>18</v>
      </c>
      <c r="C72" s="30" t="s">
        <v>18</v>
      </c>
      <c r="D72" s="30">
        <v>183.01</v>
      </c>
      <c r="E72" s="30">
        <v>1.0</v>
      </c>
      <c r="F72" s="30">
        <v>-32.27</v>
      </c>
      <c r="G72" s="30">
        <v>1.0</v>
      </c>
      <c r="H72" s="30">
        <v>16.01</v>
      </c>
      <c r="I72" s="30">
        <v>1.0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>
      <c r="A73" s="13">
        <v>9627.903391</v>
      </c>
      <c r="B73" s="30" t="s">
        <v>18</v>
      </c>
      <c r="C73" s="30" t="s">
        <v>18</v>
      </c>
      <c r="D73" s="30">
        <v>183.64</v>
      </c>
      <c r="E73" s="30">
        <v>1.0</v>
      </c>
      <c r="F73" s="30">
        <v>-31.37</v>
      </c>
      <c r="G73" s="30">
        <v>1.0</v>
      </c>
      <c r="H73" s="30" t="s">
        <v>18</v>
      </c>
      <c r="I73" s="30" t="s">
        <v>18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>
      <c r="A74" s="13">
        <v>9627.890486</v>
      </c>
      <c r="B74" s="30" t="s">
        <v>18</v>
      </c>
      <c r="C74" s="30" t="s">
        <v>18</v>
      </c>
      <c r="D74" s="30">
        <v>183.98</v>
      </c>
      <c r="E74" s="30">
        <v>1.0</v>
      </c>
      <c r="F74" s="30">
        <v>-30.36</v>
      </c>
      <c r="G74" s="30">
        <v>1.0</v>
      </c>
      <c r="H74" s="30" t="s">
        <v>18</v>
      </c>
      <c r="I74" s="30" t="s">
        <v>18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>
      <c r="A75" s="13">
        <v>9627.883356</v>
      </c>
      <c r="B75" s="30" t="s">
        <v>18</v>
      </c>
      <c r="C75" s="30" t="s">
        <v>18</v>
      </c>
      <c r="D75" s="30">
        <v>184.07</v>
      </c>
      <c r="E75" s="30">
        <v>1.0</v>
      </c>
      <c r="F75" s="30">
        <v>-30.13</v>
      </c>
      <c r="G75" s="30">
        <v>1.0</v>
      </c>
      <c r="H75" s="30" t="s">
        <v>18</v>
      </c>
      <c r="I75" s="30" t="s">
        <v>18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>
      <c r="A76" s="13">
        <v>9627.875405</v>
      </c>
      <c r="B76" s="30" t="s">
        <v>18</v>
      </c>
      <c r="C76" s="30" t="s">
        <v>18</v>
      </c>
      <c r="D76" s="30">
        <v>183.49</v>
      </c>
      <c r="E76" s="30">
        <v>1.0</v>
      </c>
      <c r="F76" s="30">
        <v>-29.8</v>
      </c>
      <c r="G76" s="30">
        <v>1.0</v>
      </c>
      <c r="H76" s="30" t="s">
        <v>18</v>
      </c>
      <c r="I76" s="30" t="s">
        <v>18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>
      <c r="A77" s="13">
        <v>9627.867905</v>
      </c>
      <c r="B77" s="30" t="s">
        <v>18</v>
      </c>
      <c r="C77" s="30" t="s">
        <v>18</v>
      </c>
      <c r="D77" s="30">
        <v>184.29</v>
      </c>
      <c r="E77" s="30">
        <v>1.0</v>
      </c>
      <c r="F77" s="30">
        <v>-28.63</v>
      </c>
      <c r="G77" s="30">
        <v>1.0</v>
      </c>
      <c r="H77" s="30" t="s">
        <v>18</v>
      </c>
      <c r="I77" s="30" t="s">
        <v>18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>
      <c r="A78" s="13">
        <v>9627.863993</v>
      </c>
      <c r="B78" s="30" t="s">
        <v>18</v>
      </c>
      <c r="C78" s="30" t="s">
        <v>18</v>
      </c>
      <c r="D78" s="30">
        <v>183.06</v>
      </c>
      <c r="E78" s="30">
        <v>1.0</v>
      </c>
      <c r="F78" s="30" t="s">
        <v>18</v>
      </c>
      <c r="G78" s="30" t="s">
        <v>18</v>
      </c>
      <c r="H78" s="30" t="s">
        <v>18</v>
      </c>
      <c r="I78" s="30" t="s">
        <v>18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>
      <c r="A79" s="13">
        <v>9627.859294</v>
      </c>
      <c r="B79" s="30" t="s">
        <v>18</v>
      </c>
      <c r="C79" s="30" t="s">
        <v>18</v>
      </c>
      <c r="D79" s="30">
        <v>184.28</v>
      </c>
      <c r="E79" s="30">
        <v>1.0</v>
      </c>
      <c r="F79" s="30" t="s">
        <v>18</v>
      </c>
      <c r="G79" s="30" t="s">
        <v>18</v>
      </c>
      <c r="H79" s="30" t="s">
        <v>18</v>
      </c>
      <c r="I79" s="30" t="s">
        <v>18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>
      <c r="A80" s="31">
        <v>9628.825764</v>
      </c>
      <c r="B80" s="30" t="s">
        <v>18</v>
      </c>
      <c r="C80" s="30" t="s">
        <v>18</v>
      </c>
      <c r="D80" s="30">
        <v>137.93</v>
      </c>
      <c r="E80" s="30">
        <v>1.0</v>
      </c>
      <c r="F80" s="30">
        <v>-105.74</v>
      </c>
      <c r="G80" s="30">
        <v>1.0</v>
      </c>
      <c r="H80" s="30">
        <v>70.67</v>
      </c>
      <c r="I80" s="30">
        <v>1.0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>
      <c r="A81" s="32" t="s">
        <v>20</v>
      </c>
      <c r="B81" s="30" t="s">
        <v>18</v>
      </c>
      <c r="C81" s="30" t="s">
        <v>18</v>
      </c>
      <c r="D81" s="30">
        <v>137.56</v>
      </c>
      <c r="E81" s="30">
        <v>1.0</v>
      </c>
      <c r="F81" s="30">
        <v>-106.28</v>
      </c>
      <c r="G81" s="30">
        <v>1.0</v>
      </c>
      <c r="H81" s="30">
        <v>70.12</v>
      </c>
      <c r="I81" s="30">
        <v>1.0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>
      <c r="A82" s="32" t="s">
        <v>21</v>
      </c>
      <c r="B82" s="30" t="s">
        <v>18</v>
      </c>
      <c r="C82" s="30" t="s">
        <v>18</v>
      </c>
      <c r="D82" s="30">
        <v>137.06</v>
      </c>
      <c r="E82" s="30">
        <v>1.0</v>
      </c>
      <c r="F82" s="30">
        <v>-105.64</v>
      </c>
      <c r="G82" s="30">
        <v>1.0</v>
      </c>
      <c r="H82" s="30">
        <v>70.77</v>
      </c>
      <c r="I82" s="30">
        <v>1.0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>
      <c r="A83" s="32" t="s">
        <v>22</v>
      </c>
      <c r="B83" s="30" t="s">
        <v>18</v>
      </c>
      <c r="C83" s="30" t="s">
        <v>18</v>
      </c>
      <c r="D83" s="30">
        <v>135.93</v>
      </c>
      <c r="E83" s="30">
        <v>1.0</v>
      </c>
      <c r="F83" s="30">
        <v>-106.77</v>
      </c>
      <c r="G83" s="30">
        <v>1.0</v>
      </c>
      <c r="H83" s="30">
        <v>69.65</v>
      </c>
      <c r="I83" s="30">
        <v>1.0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>
      <c r="A84" s="32" t="s">
        <v>23</v>
      </c>
      <c r="B84" s="30" t="s">
        <v>18</v>
      </c>
      <c r="C84" s="30" t="s">
        <v>18</v>
      </c>
      <c r="D84" s="30">
        <v>135.31</v>
      </c>
      <c r="E84" s="30">
        <v>1.0</v>
      </c>
      <c r="F84" s="30">
        <v>-107.4</v>
      </c>
      <c r="G84" s="30">
        <v>1.0</v>
      </c>
      <c r="H84" s="30">
        <v>69.03</v>
      </c>
      <c r="I84" s="30">
        <v>1.0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>
      <c r="A85" s="32" t="s">
        <v>24</v>
      </c>
      <c r="B85" s="30">
        <v>21.72</v>
      </c>
      <c r="C85" s="30">
        <v>1.0</v>
      </c>
      <c r="D85" s="30">
        <v>133.05</v>
      </c>
      <c r="E85" s="30">
        <v>1.0</v>
      </c>
      <c r="F85" s="30">
        <v>-108.68</v>
      </c>
      <c r="G85" s="30">
        <v>1.0</v>
      </c>
      <c r="H85" s="30">
        <v>67.75</v>
      </c>
      <c r="I85" s="30">
        <v>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>
      <c r="A86" s="32" t="s">
        <v>25</v>
      </c>
      <c r="B86" s="30">
        <v>22.99</v>
      </c>
      <c r="C86" s="30">
        <v>1.0</v>
      </c>
      <c r="D86" s="30">
        <v>134.16</v>
      </c>
      <c r="E86" s="30">
        <v>1.0</v>
      </c>
      <c r="F86" s="30">
        <v>-110.02</v>
      </c>
      <c r="G86" s="30">
        <v>1.0</v>
      </c>
      <c r="H86" s="30">
        <v>67.88</v>
      </c>
      <c r="I86" s="30">
        <v>1.0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>
      <c r="A87" s="32" t="s">
        <v>26</v>
      </c>
      <c r="B87" s="30">
        <v>23.61</v>
      </c>
      <c r="C87" s="30">
        <v>1.0</v>
      </c>
      <c r="D87" s="30">
        <v>132.8</v>
      </c>
      <c r="E87" s="30">
        <v>1.0</v>
      </c>
      <c r="F87" s="30">
        <v>-108.91</v>
      </c>
      <c r="G87" s="30">
        <v>1.0</v>
      </c>
      <c r="H87" s="30">
        <v>67.1</v>
      </c>
      <c r="I87" s="30">
        <v>1.0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>
      <c r="A88" s="32" t="s">
        <v>27</v>
      </c>
      <c r="B88" s="30">
        <v>25.71</v>
      </c>
      <c r="C88" s="30">
        <v>1.0</v>
      </c>
      <c r="D88" s="30">
        <v>132.77</v>
      </c>
      <c r="E88" s="30">
        <v>1.0</v>
      </c>
      <c r="F88" s="30">
        <v>-108.94</v>
      </c>
      <c r="G88" s="30">
        <v>1.0</v>
      </c>
      <c r="H88" s="30">
        <v>67.65</v>
      </c>
      <c r="I88" s="30">
        <v>1.0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>
      <c r="A89" s="33">
        <v>9628.916065</v>
      </c>
      <c r="B89" s="30">
        <v>26.28</v>
      </c>
      <c r="C89" s="30">
        <v>1.0</v>
      </c>
      <c r="D89" s="30">
        <v>131.37</v>
      </c>
      <c r="E89" s="30">
        <v>1.0</v>
      </c>
      <c r="F89" s="30">
        <v>-109.52</v>
      </c>
      <c r="G89" s="30">
        <v>1.0</v>
      </c>
      <c r="H89" s="30">
        <v>66.07</v>
      </c>
      <c r="I89" s="30">
        <v>1.0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</sheetData>
  <mergeCells count="19">
    <mergeCell ref="D3:G3"/>
    <mergeCell ref="H3:M3"/>
    <mergeCell ref="N3:S3"/>
    <mergeCell ref="T3:Y3"/>
    <mergeCell ref="Z3:AE3"/>
    <mergeCell ref="D23:G23"/>
    <mergeCell ref="H23:M23"/>
    <mergeCell ref="Z23:AE23"/>
    <mergeCell ref="B59:C59"/>
    <mergeCell ref="D59:E59"/>
    <mergeCell ref="F59:G59"/>
    <mergeCell ref="H59:I59"/>
    <mergeCell ref="N23:S23"/>
    <mergeCell ref="T23:Y23"/>
    <mergeCell ref="D41:G41"/>
    <mergeCell ref="H41:M41"/>
    <mergeCell ref="N41:S41"/>
    <mergeCell ref="T41:Y41"/>
    <mergeCell ref="Z41:AE41"/>
  </mergeCells>
  <drawing r:id="rId1"/>
</worksheet>
</file>